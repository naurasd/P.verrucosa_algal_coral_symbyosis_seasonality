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gunet-my.sharepoint.com/personal/nauras_daraghmeh_bioenv_gu_se/Documents/research/tilstra_et al_comms_bio/new nauras/raw data/"/>
    </mc:Choice>
  </mc:AlternateContent>
  <xr:revisionPtr revIDLastSave="29" documentId="8_{8BBC0202-EE2C-4413-90EA-BA2A6FB05F36}" xr6:coauthVersionLast="47" xr6:coauthVersionMax="47" xr10:uidLastSave="{7DCABA3B-5D19-4AA7-9F0E-FF9EB7B3F822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3" i="1" l="1"/>
  <c r="E26" i="1"/>
  <c r="E15" i="1"/>
  <c r="E16" i="1"/>
  <c r="E17" i="1"/>
  <c r="E8" i="1"/>
  <c r="E6" i="1"/>
  <c r="C4" i="1"/>
  <c r="C2" i="1"/>
</calcChain>
</file>

<file path=xl/sharedStrings.xml><?xml version="1.0" encoding="utf-8"?>
<sst xmlns="http://schemas.openxmlformats.org/spreadsheetml/2006/main" count="80" uniqueCount="48">
  <si>
    <t>Season 1</t>
  </si>
  <si>
    <t>Season 2</t>
  </si>
  <si>
    <t>Season 3</t>
  </si>
  <si>
    <t>Season 4</t>
  </si>
  <si>
    <t>Slurry used for DNA extraction</t>
  </si>
  <si>
    <t>DNA extracted (ng/ul)</t>
  </si>
  <si>
    <t>DNA extracted (ng/ul) PURIFIED</t>
  </si>
  <si>
    <t>Season</t>
  </si>
  <si>
    <t>Coral ID</t>
  </si>
  <si>
    <t>Spring</t>
  </si>
  <si>
    <t>P1-1</t>
  </si>
  <si>
    <t>P1-2</t>
  </si>
  <si>
    <t>P1-3</t>
  </si>
  <si>
    <t>P1-4</t>
  </si>
  <si>
    <t>Summer</t>
  </si>
  <si>
    <t>P2-1</t>
  </si>
  <si>
    <t>P2-2</t>
  </si>
  <si>
    <t>P2-3</t>
  </si>
  <si>
    <t>P2-4</t>
  </si>
  <si>
    <t>P2-5</t>
  </si>
  <si>
    <t>P2-6</t>
  </si>
  <si>
    <t>P2-7</t>
  </si>
  <si>
    <t>P2-8</t>
  </si>
  <si>
    <t>Fall</t>
  </si>
  <si>
    <t>P3-1</t>
  </si>
  <si>
    <t>P3-2</t>
  </si>
  <si>
    <t>P3-3</t>
  </si>
  <si>
    <t>P3-4</t>
  </si>
  <si>
    <t>P3-5</t>
  </si>
  <si>
    <t>P3-6</t>
  </si>
  <si>
    <t>P3-7</t>
  </si>
  <si>
    <t>P3-8</t>
  </si>
  <si>
    <t>Winter</t>
  </si>
  <si>
    <t>P4-1</t>
  </si>
  <si>
    <t>P4-2</t>
  </si>
  <si>
    <t>P4-3</t>
  </si>
  <si>
    <t>P4-4</t>
  </si>
  <si>
    <t>P4-5</t>
  </si>
  <si>
    <t>P4-6</t>
  </si>
  <si>
    <t>P4-7</t>
  </si>
  <si>
    <t>P4-8</t>
  </si>
  <si>
    <t>Fragment weight [g]</t>
  </si>
  <si>
    <t>Slurry weight [g]</t>
  </si>
  <si>
    <t>Slurry volume [mL]</t>
  </si>
  <si>
    <r>
      <t>Surface area [cm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</si>
  <si>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t>Pooling of initial samples from spring:</t>
  </si>
  <si>
    <t>P1-1 = S1 + S3 + S5</t>
  </si>
  <si>
    <t>P1-3 = S6 + S7 + 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</si>
</sst>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2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4" fillId="3" borderId="2" applyProtection="0"/>
  </cellStyleXfs>
  <cellXfs count="1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center" vertical="center"/>
    </xf>
  </cellXfs>
  <cellStyles count="3">
    <cellStyle name="Excel Built-in Note" xfId="2" xr:uid="{D18404C4-A160-45B3-A582-6803780F29F7}"/>
    <cellStyle name="Normal" xfId="0" builtinId="0"/>
    <cellStyle name="Normal 2" xfId="1" xr:uid="{05A331A5-80AC-4A12-96C3-751EABE091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8"/>
  <sheetViews>
    <sheetView tabSelected="1" zoomScale="110" zoomScaleNormal="110" zoomScalePageLayoutView="110" workbookViewId="0">
      <selection activeCell="I15" sqref="I15"/>
    </sheetView>
  </sheetViews>
  <sheetFormatPr defaultColWidth="8.81640625" defaultRowHeight="14.5" x14ac:dyDescent="0.35"/>
  <cols>
    <col min="1" max="1" width="7.81640625" bestFit="1" customWidth="1"/>
    <col min="2" max="2" width="7.453125" style="2" bestFit="1" customWidth="1"/>
    <col min="3" max="3" width="17.7265625" style="2" bestFit="1" customWidth="1"/>
    <col min="4" max="4" width="17.7265625" style="2" customWidth="1"/>
    <col min="5" max="5" width="14.453125" style="2" bestFit="1" customWidth="1"/>
    <col min="6" max="6" width="16.54296875" style="2" bestFit="1" customWidth="1"/>
    <col min="7" max="7" width="8.81640625" style="2"/>
    <col min="8" max="9" width="11" style="2" bestFit="1" customWidth="1"/>
    <col min="10" max="10" width="8.81640625" style="2"/>
    <col min="11" max="14" width="8.1796875" style="2" bestFit="1" customWidth="1"/>
    <col min="15" max="15" width="8.81640625" style="2"/>
    <col min="16" max="17" width="8.1796875" style="2" bestFit="1" customWidth="1"/>
    <col min="18" max="19" width="8.1796875" bestFit="1" customWidth="1"/>
    <col min="21" max="24" width="8.1796875" bestFit="1" customWidth="1"/>
  </cols>
  <sheetData>
    <row r="1" spans="1:24" ht="16.5" x14ac:dyDescent="0.35">
      <c r="A1" s="9" t="s">
        <v>7</v>
      </c>
      <c r="B1" s="9" t="s">
        <v>8</v>
      </c>
      <c r="C1" s="8" t="s">
        <v>41</v>
      </c>
      <c r="D1" s="8" t="s">
        <v>44</v>
      </c>
      <c r="E1" s="8" t="s">
        <v>42</v>
      </c>
      <c r="F1" s="8" t="s">
        <v>43</v>
      </c>
      <c r="G1" s="5"/>
      <c r="H1" s="5"/>
      <c r="K1" s="10" t="s">
        <v>4</v>
      </c>
      <c r="L1" s="10"/>
      <c r="M1" s="10"/>
      <c r="N1" s="10"/>
      <c r="P1" s="10" t="s">
        <v>5</v>
      </c>
      <c r="Q1" s="10"/>
      <c r="R1" s="10"/>
      <c r="S1" s="10"/>
      <c r="U1" s="10" t="s">
        <v>6</v>
      </c>
      <c r="V1" s="10"/>
      <c r="W1" s="10"/>
      <c r="X1" s="10"/>
    </row>
    <row r="2" spans="1:24" x14ac:dyDescent="0.35">
      <c r="A2" s="4" t="s">
        <v>9</v>
      </c>
      <c r="B2" s="4" t="s">
        <v>10</v>
      </c>
      <c r="C2" s="3">
        <f>3.831+1.556+2.426</f>
        <v>7.8130000000000006</v>
      </c>
      <c r="D2" s="6">
        <v>39</v>
      </c>
      <c r="E2" s="3">
        <v>5.01</v>
      </c>
      <c r="F2" s="3">
        <v>2.42075</v>
      </c>
      <c r="K2" s="2" t="s">
        <v>0</v>
      </c>
      <c r="L2" s="2" t="s">
        <v>1</v>
      </c>
      <c r="M2" s="2" t="s">
        <v>2</v>
      </c>
      <c r="N2" s="2" t="s">
        <v>3</v>
      </c>
      <c r="P2" s="2" t="s">
        <v>0</v>
      </c>
      <c r="Q2" s="2" t="s">
        <v>1</v>
      </c>
      <c r="R2" s="2" t="s">
        <v>2</v>
      </c>
      <c r="S2" s="2" t="s">
        <v>3</v>
      </c>
      <c r="U2" s="2" t="s">
        <v>0</v>
      </c>
      <c r="V2" s="2" t="s">
        <v>1</v>
      </c>
      <c r="W2" s="2" t="s">
        <v>2</v>
      </c>
      <c r="X2" s="2" t="s">
        <v>3</v>
      </c>
    </row>
    <row r="3" spans="1:24" x14ac:dyDescent="0.35">
      <c r="A3" s="4" t="s">
        <v>9</v>
      </c>
      <c r="B3" s="4" t="s">
        <v>11</v>
      </c>
      <c r="C3" s="3">
        <v>16.212</v>
      </c>
      <c r="D3" s="6">
        <v>58</v>
      </c>
      <c r="E3" s="3">
        <v>4.835</v>
      </c>
      <c r="F3" s="3">
        <v>2.2457500000000001</v>
      </c>
      <c r="K3" s="2">
        <v>200</v>
      </c>
      <c r="L3" s="2">
        <v>200</v>
      </c>
      <c r="M3" s="2">
        <v>200</v>
      </c>
      <c r="N3" s="2">
        <v>200</v>
      </c>
      <c r="P3" s="2">
        <v>3.2</v>
      </c>
      <c r="Q3" s="2">
        <v>5.0999999999999996</v>
      </c>
      <c r="R3" s="2">
        <v>3.7</v>
      </c>
      <c r="S3" s="2">
        <v>5.3</v>
      </c>
      <c r="U3" s="2">
        <v>4.4000000000000004</v>
      </c>
      <c r="V3" s="2">
        <v>3</v>
      </c>
      <c r="W3" s="2">
        <v>4.8</v>
      </c>
      <c r="X3" s="2">
        <v>2.1</v>
      </c>
    </row>
    <row r="4" spans="1:24" x14ac:dyDescent="0.35">
      <c r="A4" s="4" t="s">
        <v>9</v>
      </c>
      <c r="B4" s="4" t="s">
        <v>12</v>
      </c>
      <c r="C4" s="3">
        <f>3.174+2.469+1.965</f>
        <v>7.6079999999999997</v>
      </c>
      <c r="D4" s="6">
        <v>37</v>
      </c>
      <c r="E4" s="3">
        <v>5.2539999999999996</v>
      </c>
      <c r="F4" s="3">
        <v>2.6647499999999997</v>
      </c>
      <c r="K4" s="2">
        <v>200</v>
      </c>
      <c r="L4" s="2">
        <v>200</v>
      </c>
      <c r="M4" s="2">
        <v>200</v>
      </c>
      <c r="N4" s="2">
        <v>200</v>
      </c>
      <c r="P4" s="2">
        <v>7.4</v>
      </c>
      <c r="Q4" s="2">
        <v>4.8</v>
      </c>
      <c r="R4" s="2">
        <v>7.6</v>
      </c>
      <c r="S4" s="2">
        <v>6.4</v>
      </c>
      <c r="U4" s="2">
        <v>10.7</v>
      </c>
      <c r="V4" s="2">
        <v>3.8</v>
      </c>
      <c r="W4" s="2">
        <v>4.3</v>
      </c>
      <c r="X4" s="2">
        <v>3.1</v>
      </c>
    </row>
    <row r="5" spans="1:24" x14ac:dyDescent="0.35">
      <c r="A5" s="4" t="s">
        <v>9</v>
      </c>
      <c r="B5" s="4" t="s">
        <v>13</v>
      </c>
      <c r="C5" s="3">
        <v>10.926</v>
      </c>
      <c r="D5" s="6">
        <v>39</v>
      </c>
      <c r="E5" s="3">
        <v>4.4509999999999996</v>
      </c>
      <c r="F5" s="3">
        <v>1.8617499999999998</v>
      </c>
      <c r="K5" s="2">
        <v>200</v>
      </c>
      <c r="L5" s="2">
        <v>200</v>
      </c>
      <c r="M5" s="2">
        <v>200</v>
      </c>
      <c r="N5" s="2">
        <v>200</v>
      </c>
      <c r="P5" s="2">
        <v>5.0999999999999996</v>
      </c>
      <c r="Q5" s="2">
        <v>6.7</v>
      </c>
      <c r="R5" s="2">
        <v>4.0999999999999996</v>
      </c>
      <c r="S5" s="2">
        <v>5.8</v>
      </c>
      <c r="U5" s="2">
        <v>2.8</v>
      </c>
      <c r="V5" s="2">
        <v>4</v>
      </c>
      <c r="W5" s="2">
        <v>1.6</v>
      </c>
      <c r="X5" s="2">
        <v>2.5</v>
      </c>
    </row>
    <row r="6" spans="1:24" x14ac:dyDescent="0.35">
      <c r="A6" s="4" t="s">
        <v>14</v>
      </c>
      <c r="B6" s="4" t="s">
        <v>15</v>
      </c>
      <c r="C6" s="3">
        <v>28.940999999999999</v>
      </c>
      <c r="D6" s="7">
        <v>113</v>
      </c>
      <c r="E6" s="3">
        <f>5.636+6.118</f>
        <v>11.754000000000001</v>
      </c>
      <c r="F6" s="3">
        <v>6.5755000000000017</v>
      </c>
      <c r="K6" s="2">
        <v>200</v>
      </c>
      <c r="L6" s="2">
        <v>200</v>
      </c>
      <c r="M6" s="2">
        <v>200</v>
      </c>
      <c r="N6" s="2">
        <v>200</v>
      </c>
      <c r="P6" s="2">
        <v>10.6</v>
      </c>
      <c r="Q6" s="2">
        <v>5.5</v>
      </c>
      <c r="R6" s="2">
        <v>4.9000000000000004</v>
      </c>
      <c r="S6" s="2">
        <v>6.6</v>
      </c>
      <c r="U6" s="2">
        <v>4.4000000000000004</v>
      </c>
      <c r="V6" s="2">
        <v>8.6</v>
      </c>
      <c r="W6" s="2">
        <v>3.4</v>
      </c>
      <c r="X6" s="2">
        <v>2.6</v>
      </c>
    </row>
    <row r="7" spans="1:24" x14ac:dyDescent="0.35">
      <c r="A7" s="4" t="s">
        <v>14</v>
      </c>
      <c r="B7" s="4" t="s">
        <v>16</v>
      </c>
      <c r="C7" s="3">
        <v>12.087999999999999</v>
      </c>
      <c r="D7" s="7">
        <v>46</v>
      </c>
      <c r="E7" s="3">
        <v>5.7930000000000001</v>
      </c>
      <c r="F7" s="3">
        <v>3.2037500000000003</v>
      </c>
      <c r="L7" s="2">
        <v>200</v>
      </c>
      <c r="M7" s="2">
        <v>200</v>
      </c>
      <c r="N7" s="2">
        <v>200</v>
      </c>
      <c r="Q7" s="2">
        <v>4.0999999999999996</v>
      </c>
      <c r="R7" s="2">
        <v>5.3</v>
      </c>
      <c r="S7" s="2">
        <v>5.4</v>
      </c>
      <c r="U7" s="2"/>
      <c r="V7" s="2">
        <v>3.5</v>
      </c>
      <c r="W7" s="2">
        <v>1.7</v>
      </c>
      <c r="X7" s="2">
        <v>4.8</v>
      </c>
    </row>
    <row r="8" spans="1:24" x14ac:dyDescent="0.35">
      <c r="A8" s="4" t="s">
        <v>14</v>
      </c>
      <c r="B8" s="4" t="s">
        <v>17</v>
      </c>
      <c r="C8" s="3">
        <v>34.110999999999997</v>
      </c>
      <c r="D8" s="7">
        <v>85</v>
      </c>
      <c r="E8" s="3">
        <f>5.562+5.739</f>
        <v>11.301</v>
      </c>
      <c r="F8" s="3">
        <v>6.1225000000000005</v>
      </c>
      <c r="L8" s="2">
        <v>200</v>
      </c>
      <c r="M8" s="2">
        <v>200</v>
      </c>
      <c r="N8" s="2">
        <v>200</v>
      </c>
      <c r="Q8" s="2">
        <v>4.5</v>
      </c>
      <c r="R8" s="2">
        <v>4.7</v>
      </c>
      <c r="S8" s="2">
        <v>10.199999999999999</v>
      </c>
      <c r="U8" s="2"/>
      <c r="V8" s="2">
        <v>3.5</v>
      </c>
      <c r="W8" s="2">
        <v>4</v>
      </c>
      <c r="X8" s="2">
        <v>3.7</v>
      </c>
    </row>
    <row r="9" spans="1:24" x14ac:dyDescent="0.35">
      <c r="A9" s="4" t="s">
        <v>14</v>
      </c>
      <c r="B9" s="4" t="s">
        <v>18</v>
      </c>
      <c r="C9" s="3">
        <v>21.888000000000002</v>
      </c>
      <c r="D9" s="7">
        <v>79</v>
      </c>
      <c r="E9" s="3">
        <v>6.6680000000000001</v>
      </c>
      <c r="F9" s="3">
        <v>4.0787500000000003</v>
      </c>
      <c r="L9" s="2">
        <v>200</v>
      </c>
      <c r="M9" s="2">
        <v>200</v>
      </c>
      <c r="N9" s="2">
        <v>200</v>
      </c>
      <c r="Q9" s="2">
        <v>4.0999999999999996</v>
      </c>
      <c r="R9" s="2">
        <v>6.9</v>
      </c>
      <c r="S9" s="2">
        <v>20.7</v>
      </c>
      <c r="U9" s="2"/>
      <c r="V9" s="2">
        <v>2.7</v>
      </c>
      <c r="W9" s="2">
        <v>3.1</v>
      </c>
      <c r="X9" s="2">
        <v>8.4</v>
      </c>
    </row>
    <row r="10" spans="1:24" x14ac:dyDescent="0.35">
      <c r="A10" s="4" t="s">
        <v>14</v>
      </c>
      <c r="B10" s="4" t="s">
        <v>19</v>
      </c>
      <c r="C10" s="3">
        <v>9.5310000000000006</v>
      </c>
      <c r="D10" s="7">
        <v>45</v>
      </c>
      <c r="E10" s="3">
        <v>6.26</v>
      </c>
      <c r="F10" s="3">
        <v>3.67075</v>
      </c>
      <c r="L10" s="2">
        <v>200</v>
      </c>
      <c r="M10" s="2">
        <v>200</v>
      </c>
      <c r="N10" s="2">
        <v>200</v>
      </c>
      <c r="Q10" s="2">
        <v>4</v>
      </c>
      <c r="R10" s="2">
        <v>5.8</v>
      </c>
      <c r="S10" s="2">
        <v>7.7</v>
      </c>
      <c r="U10" s="2"/>
      <c r="V10" s="2">
        <v>3.3</v>
      </c>
      <c r="W10" s="2">
        <v>3.4</v>
      </c>
      <c r="X10" s="2">
        <v>3.8</v>
      </c>
    </row>
    <row r="11" spans="1:24" x14ac:dyDescent="0.35">
      <c r="A11" s="4" t="s">
        <v>14</v>
      </c>
      <c r="B11" s="4" t="s">
        <v>20</v>
      </c>
      <c r="C11" s="3">
        <v>24.93</v>
      </c>
      <c r="D11" s="7">
        <v>84</v>
      </c>
      <c r="E11" s="3">
        <v>6.7190000000000003</v>
      </c>
      <c r="F11" s="3">
        <v>4.1297500000000005</v>
      </c>
      <c r="R11" s="2"/>
      <c r="S11" s="2"/>
      <c r="U11" s="2"/>
      <c r="V11" s="2"/>
      <c r="W11" s="2"/>
      <c r="X11" s="2"/>
    </row>
    <row r="12" spans="1:24" x14ac:dyDescent="0.35">
      <c r="A12" s="4" t="s">
        <v>14</v>
      </c>
      <c r="B12" s="4" t="s">
        <v>21</v>
      </c>
      <c r="C12" s="3">
        <v>10.789</v>
      </c>
      <c r="D12" s="7">
        <v>43</v>
      </c>
      <c r="E12" s="3">
        <v>4.6459999999999999</v>
      </c>
      <c r="F12" s="3">
        <v>2.0567500000000001</v>
      </c>
      <c r="G12" s="1"/>
      <c r="H12" s="12" t="s">
        <v>45</v>
      </c>
      <c r="I12" s="12"/>
      <c r="J12" s="12"/>
      <c r="R12" s="2"/>
      <c r="S12" s="2"/>
      <c r="U12" s="2"/>
      <c r="V12" s="2"/>
      <c r="W12" s="2"/>
      <c r="X12" s="2"/>
    </row>
    <row r="13" spans="1:24" x14ac:dyDescent="0.35">
      <c r="A13" s="4" t="s">
        <v>14</v>
      </c>
      <c r="B13" s="4" t="s">
        <v>22</v>
      </c>
      <c r="C13" s="3">
        <v>26.021999999999998</v>
      </c>
      <c r="D13" s="7">
        <v>84</v>
      </c>
      <c r="E13" s="3">
        <v>6.5529999999999999</v>
      </c>
      <c r="F13" s="3">
        <v>3.9637500000000001</v>
      </c>
      <c r="G13" s="1"/>
      <c r="H13" s="11"/>
      <c r="I13" s="2" t="s">
        <v>46</v>
      </c>
      <c r="R13" s="2"/>
      <c r="S13" s="2"/>
      <c r="U13" s="2"/>
      <c r="V13" s="2"/>
      <c r="W13" s="2"/>
      <c r="X13" s="2"/>
    </row>
    <row r="14" spans="1:24" x14ac:dyDescent="0.35">
      <c r="A14" s="4" t="s">
        <v>23</v>
      </c>
      <c r="B14" s="4" t="s">
        <v>24</v>
      </c>
      <c r="C14" s="3">
        <v>15.912000000000001</v>
      </c>
      <c r="D14" s="7">
        <v>54</v>
      </c>
      <c r="E14" s="3">
        <v>5.9180000000000001</v>
      </c>
      <c r="F14" s="3">
        <v>3.3287500000000003</v>
      </c>
      <c r="G14" s="1"/>
      <c r="H14" s="11"/>
      <c r="I14" s="2" t="s">
        <v>47</v>
      </c>
      <c r="R14" s="2"/>
      <c r="S14" s="2"/>
      <c r="U14" s="2"/>
      <c r="V14" s="2"/>
      <c r="W14" s="2"/>
      <c r="X14" s="2"/>
    </row>
    <row r="15" spans="1:24" x14ac:dyDescent="0.35">
      <c r="A15" s="4" t="s">
        <v>23</v>
      </c>
      <c r="B15" s="4" t="s">
        <v>25</v>
      </c>
      <c r="C15" s="3">
        <v>42.253</v>
      </c>
      <c r="D15" s="7">
        <v>141</v>
      </c>
      <c r="E15" s="3">
        <f>5.099+6.616</f>
        <v>11.715</v>
      </c>
      <c r="F15" s="3">
        <v>6.5365000000000002</v>
      </c>
      <c r="G15" s="1"/>
      <c r="H15"/>
      <c r="I15" s="1"/>
      <c r="R15" s="2"/>
      <c r="S15" s="2"/>
      <c r="U15" s="2"/>
      <c r="V15" s="2"/>
      <c r="W15" s="2"/>
      <c r="X15" s="2"/>
    </row>
    <row r="16" spans="1:24" x14ac:dyDescent="0.35">
      <c r="A16" s="4" t="s">
        <v>23</v>
      </c>
      <c r="B16" s="4" t="s">
        <v>26</v>
      </c>
      <c r="C16" s="3">
        <v>21.89</v>
      </c>
      <c r="D16" s="7">
        <v>119</v>
      </c>
      <c r="E16" s="3">
        <f>5.624+5.304</f>
        <v>10.928000000000001</v>
      </c>
      <c r="F16" s="3">
        <v>5.7495000000000012</v>
      </c>
      <c r="G16" s="1"/>
      <c r="H16"/>
      <c r="R16" s="2"/>
      <c r="S16" s="2"/>
      <c r="U16" s="2"/>
      <c r="V16" s="2"/>
      <c r="W16" s="2"/>
      <c r="X16" s="2"/>
    </row>
    <row r="17" spans="1:24" x14ac:dyDescent="0.35">
      <c r="A17" s="4" t="s">
        <v>23</v>
      </c>
      <c r="B17" s="4" t="s">
        <v>27</v>
      </c>
      <c r="C17" s="3">
        <v>26.443999999999999</v>
      </c>
      <c r="D17" s="7">
        <v>83</v>
      </c>
      <c r="E17" s="3">
        <f>5.866+4.13</f>
        <v>9.9959999999999987</v>
      </c>
      <c r="F17" s="3">
        <v>4.817499999999999</v>
      </c>
      <c r="G17" s="1"/>
      <c r="H17"/>
      <c r="R17" s="2"/>
      <c r="S17" s="2"/>
      <c r="U17" s="2"/>
      <c r="V17" s="2"/>
      <c r="W17" s="2"/>
      <c r="X17" s="2"/>
    </row>
    <row r="18" spans="1:24" x14ac:dyDescent="0.35">
      <c r="A18" s="4" t="s">
        <v>23</v>
      </c>
      <c r="B18" s="4" t="s">
        <v>28</v>
      </c>
      <c r="C18" s="3">
        <v>26.239000000000001</v>
      </c>
      <c r="D18" s="7">
        <v>74</v>
      </c>
      <c r="E18" s="3">
        <v>6.2670000000000003</v>
      </c>
      <c r="F18" s="3">
        <v>3.6777500000000005</v>
      </c>
      <c r="G18" s="1"/>
      <c r="H18"/>
      <c r="I18" s="1"/>
      <c r="R18" s="2"/>
      <c r="S18" s="2"/>
      <c r="U18" s="2"/>
      <c r="V18" s="2"/>
      <c r="W18" s="2"/>
      <c r="X18" s="2"/>
    </row>
    <row r="19" spans="1:24" x14ac:dyDescent="0.35">
      <c r="A19" s="4" t="s">
        <v>23</v>
      </c>
      <c r="B19" s="4" t="s">
        <v>29</v>
      </c>
      <c r="C19" s="3">
        <v>17.41</v>
      </c>
      <c r="D19" s="7">
        <v>77</v>
      </c>
      <c r="E19" s="3">
        <v>6.3449999999999998</v>
      </c>
      <c r="F19" s="3">
        <v>3.7557499999999999</v>
      </c>
      <c r="G19" s="1"/>
      <c r="R19" s="2"/>
      <c r="S19" s="2"/>
      <c r="U19" s="2"/>
      <c r="V19" s="2"/>
      <c r="W19" s="2"/>
      <c r="X19" s="2"/>
    </row>
    <row r="20" spans="1:24" x14ac:dyDescent="0.35">
      <c r="A20" s="4" t="s">
        <v>23</v>
      </c>
      <c r="B20" s="4" t="s">
        <v>30</v>
      </c>
      <c r="C20" s="3">
        <v>38.268999999999998</v>
      </c>
      <c r="D20" s="7">
        <v>169</v>
      </c>
      <c r="E20" s="3">
        <v>6.609</v>
      </c>
      <c r="F20" s="3">
        <v>4.0197500000000002</v>
      </c>
      <c r="G20" s="1"/>
      <c r="R20" s="2"/>
      <c r="S20" s="2"/>
      <c r="U20" s="2"/>
      <c r="V20" s="2"/>
      <c r="W20" s="2"/>
      <c r="X20" s="2"/>
    </row>
    <row r="21" spans="1:24" x14ac:dyDescent="0.35">
      <c r="A21" s="4" t="s">
        <v>23</v>
      </c>
      <c r="B21" s="4" t="s">
        <v>31</v>
      </c>
      <c r="C21" s="3">
        <v>18.457999999999998</v>
      </c>
      <c r="D21" s="7">
        <v>59</v>
      </c>
      <c r="E21" s="3">
        <v>4.665</v>
      </c>
      <c r="F21" s="3">
        <v>2.0757500000000002</v>
      </c>
      <c r="G21" s="1"/>
      <c r="R21" s="2"/>
      <c r="S21" s="2"/>
      <c r="U21" s="2"/>
      <c r="V21" s="2"/>
      <c r="W21" s="2"/>
      <c r="X21" s="2"/>
    </row>
    <row r="22" spans="1:24" x14ac:dyDescent="0.35">
      <c r="A22" s="4" t="s">
        <v>32</v>
      </c>
      <c r="B22" s="4" t="s">
        <v>33</v>
      </c>
      <c r="C22" s="3">
        <v>16.561</v>
      </c>
      <c r="D22" s="7">
        <v>60</v>
      </c>
      <c r="E22" s="3">
        <v>5.3449999999999998</v>
      </c>
      <c r="F22" s="3">
        <v>2.7557499999999999</v>
      </c>
      <c r="G22" s="1"/>
      <c r="R22" s="2"/>
      <c r="S22" s="2"/>
      <c r="U22" s="2"/>
      <c r="V22" s="2"/>
      <c r="W22" s="2"/>
      <c r="X22" s="2"/>
    </row>
    <row r="23" spans="1:24" x14ac:dyDescent="0.35">
      <c r="A23" s="4" t="s">
        <v>32</v>
      </c>
      <c r="B23" s="4" t="s">
        <v>34</v>
      </c>
      <c r="C23" s="3">
        <v>20.934000000000001</v>
      </c>
      <c r="D23" s="7">
        <v>77</v>
      </c>
      <c r="E23" s="3">
        <f>4.923+5.41</f>
        <v>10.333</v>
      </c>
      <c r="F23" s="3">
        <v>5.1545000000000005</v>
      </c>
      <c r="G23" s="1"/>
      <c r="R23" s="2"/>
      <c r="S23" s="2"/>
      <c r="U23" s="2"/>
      <c r="V23" s="2"/>
      <c r="W23" s="2"/>
      <c r="X23" s="2"/>
    </row>
    <row r="24" spans="1:24" x14ac:dyDescent="0.35">
      <c r="A24" s="4" t="s">
        <v>32</v>
      </c>
      <c r="B24" s="4" t="s">
        <v>35</v>
      </c>
      <c r="C24" s="3">
        <v>34.454999999999998</v>
      </c>
      <c r="D24" s="7">
        <v>97</v>
      </c>
      <c r="E24" s="3">
        <v>6.3360000000000003</v>
      </c>
      <c r="F24" s="3">
        <v>3.7467500000000005</v>
      </c>
      <c r="G24" s="1"/>
      <c r="R24" s="2"/>
      <c r="S24" s="2"/>
      <c r="U24" s="2"/>
      <c r="V24" s="2"/>
      <c r="W24" s="2"/>
      <c r="X24" s="2"/>
    </row>
    <row r="25" spans="1:24" x14ac:dyDescent="0.35">
      <c r="A25" s="4" t="s">
        <v>32</v>
      </c>
      <c r="B25" s="4" t="s">
        <v>36</v>
      </c>
      <c r="C25" s="3">
        <v>15.913</v>
      </c>
      <c r="D25" s="7">
        <v>61</v>
      </c>
      <c r="E25" s="3">
        <v>6.226</v>
      </c>
      <c r="F25" s="3">
        <v>3.6367500000000001</v>
      </c>
      <c r="G25" s="1"/>
      <c r="R25" s="2"/>
      <c r="S25" s="2"/>
      <c r="U25" s="2"/>
      <c r="V25" s="2"/>
      <c r="W25" s="2"/>
      <c r="X25" s="2"/>
    </row>
    <row r="26" spans="1:24" x14ac:dyDescent="0.35">
      <c r="A26" s="4" t="s">
        <v>32</v>
      </c>
      <c r="B26" s="4" t="s">
        <v>37</v>
      </c>
      <c r="C26" s="3">
        <v>17.725999999999999</v>
      </c>
      <c r="D26" s="7">
        <v>59</v>
      </c>
      <c r="E26" s="3">
        <f>4.734+5.258</f>
        <v>9.9920000000000009</v>
      </c>
      <c r="F26" s="3">
        <v>4.8135000000000012</v>
      </c>
      <c r="G26" s="1"/>
      <c r="R26" s="2"/>
      <c r="S26" s="2"/>
      <c r="U26" s="2"/>
      <c r="V26" s="2"/>
      <c r="W26" s="2"/>
      <c r="X26" s="2"/>
    </row>
    <row r="27" spans="1:24" x14ac:dyDescent="0.35">
      <c r="A27" s="4" t="s">
        <v>32</v>
      </c>
      <c r="B27" s="4" t="s">
        <v>38</v>
      </c>
      <c r="C27" s="3">
        <v>15.927</v>
      </c>
      <c r="D27" s="7">
        <v>60</v>
      </c>
      <c r="E27" s="3">
        <v>5.77</v>
      </c>
      <c r="F27" s="3">
        <v>3.1807499999999997</v>
      </c>
      <c r="G27" s="1"/>
      <c r="R27" s="2"/>
      <c r="S27" s="2"/>
    </row>
    <row r="28" spans="1:24" x14ac:dyDescent="0.35">
      <c r="A28" s="4" t="s">
        <v>32</v>
      </c>
      <c r="B28" s="4" t="s">
        <v>39</v>
      </c>
      <c r="C28" s="3">
        <v>20.004000000000001</v>
      </c>
      <c r="D28" s="7">
        <v>63</v>
      </c>
      <c r="E28" s="3">
        <v>4.7759999999999998</v>
      </c>
      <c r="F28" s="3">
        <v>2.18675</v>
      </c>
      <c r="G28" s="1"/>
      <c r="R28" s="2"/>
      <c r="S28" s="2"/>
    </row>
    <row r="29" spans="1:24" x14ac:dyDescent="0.35">
      <c r="A29" s="4" t="s">
        <v>32</v>
      </c>
      <c r="B29" s="4" t="s">
        <v>40</v>
      </c>
      <c r="C29" s="3">
        <v>20.289000000000001</v>
      </c>
      <c r="D29" s="7">
        <v>70</v>
      </c>
      <c r="E29" s="3">
        <v>6.9269999999999996</v>
      </c>
      <c r="F29" s="3">
        <v>4.3377499999999998</v>
      </c>
      <c r="G29" s="1"/>
      <c r="R29" s="2"/>
      <c r="S29" s="2"/>
    </row>
    <row r="55" spans="2:2" x14ac:dyDescent="0.35">
      <c r="B55" s="1"/>
    </row>
    <row r="56" spans="2:2" x14ac:dyDescent="0.35">
      <c r="B56" s="1"/>
    </row>
    <row r="57" spans="2:2" x14ac:dyDescent="0.35">
      <c r="B57" s="1"/>
    </row>
    <row r="58" spans="2:2" x14ac:dyDescent="0.35">
      <c r="B58" s="1"/>
    </row>
    <row r="59" spans="2:2" x14ac:dyDescent="0.35">
      <c r="B59" s="1"/>
    </row>
    <row r="60" spans="2:2" x14ac:dyDescent="0.35">
      <c r="B60" s="1"/>
    </row>
    <row r="61" spans="2:2" x14ac:dyDescent="0.35">
      <c r="B61" s="1"/>
    </row>
    <row r="62" spans="2:2" x14ac:dyDescent="0.35">
      <c r="B62" s="1"/>
    </row>
    <row r="63" spans="2:2" x14ac:dyDescent="0.35">
      <c r="B63" s="1"/>
    </row>
    <row r="64" spans="2:2" x14ac:dyDescent="0.35">
      <c r="B64" s="1"/>
    </row>
    <row r="65" spans="2:2" x14ac:dyDescent="0.35">
      <c r="B65" s="1"/>
    </row>
    <row r="66" spans="2:2" x14ac:dyDescent="0.35">
      <c r="B66" s="1"/>
    </row>
    <row r="67" spans="2:2" x14ac:dyDescent="0.35">
      <c r="B67" s="1"/>
    </row>
    <row r="68" spans="2:2" x14ac:dyDescent="0.35">
      <c r="B68" s="1"/>
    </row>
    <row r="69" spans="2:2" x14ac:dyDescent="0.35">
      <c r="B69" s="1"/>
    </row>
    <row r="70" spans="2:2" x14ac:dyDescent="0.35">
      <c r="B70" s="1"/>
    </row>
    <row r="71" spans="2:2" x14ac:dyDescent="0.35">
      <c r="B71" s="1"/>
    </row>
    <row r="72" spans="2:2" x14ac:dyDescent="0.35">
      <c r="B72" s="1"/>
    </row>
    <row r="73" spans="2:2" x14ac:dyDescent="0.35">
      <c r="B73" s="1"/>
    </row>
    <row r="74" spans="2:2" x14ac:dyDescent="0.35">
      <c r="B74" s="1"/>
    </row>
    <row r="75" spans="2:2" x14ac:dyDescent="0.35">
      <c r="B75" s="1"/>
    </row>
    <row r="76" spans="2:2" x14ac:dyDescent="0.35">
      <c r="B76" s="1"/>
    </row>
    <row r="77" spans="2:2" x14ac:dyDescent="0.35">
      <c r="B77" s="1"/>
    </row>
    <row r="78" spans="2:2" x14ac:dyDescent="0.35">
      <c r="B78" s="1"/>
    </row>
  </sheetData>
  <mergeCells count="4">
    <mergeCell ref="H12:J12"/>
    <mergeCell ref="U1:X1"/>
    <mergeCell ref="P1:S1"/>
    <mergeCell ref="K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Arjen Tilstra</dc:creator>
  <cp:lastModifiedBy>Nauras Daraghmeh</cp:lastModifiedBy>
  <dcterms:created xsi:type="dcterms:W3CDTF">2017-12-17T23:33:55Z</dcterms:created>
  <dcterms:modified xsi:type="dcterms:W3CDTF">2026-03-31T12:17:48Z</dcterms:modified>
</cp:coreProperties>
</file>