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gunet-my.sharepoint.com/personal/nauras_daraghmeh_bioenv_gu_se/Documents/research/tilstra_et al_comms_bio/new nauras/raw data/"/>
    </mc:Choice>
  </mc:AlternateContent>
  <xr:revisionPtr revIDLastSave="312" documentId="8_{1ECADA52-31B0-4E93-A0E5-7F38538BD102}" xr6:coauthVersionLast="47" xr6:coauthVersionMax="47" xr10:uidLastSave="{E74AA1F4-E34D-4B1B-8FE8-1D30D0F53993}"/>
  <bookViews>
    <workbookView xWindow="-110" yWindow="-110" windowWidth="19420" windowHeight="11500" firstSheet="1" activeTab="2" xr2:uid="{00000000-000D-0000-FFFF-FFFF00000000}"/>
  </bookViews>
  <sheets>
    <sheet name="Algal symbionts non-acidified" sheetId="1" r:id="rId1"/>
    <sheet name="Algal symbionts acidified" sheetId="2" r:id="rId2"/>
    <sheet name="Host tissue non-acidified" sheetId="3" r:id="rId3"/>
    <sheet name="Host tissue acidifie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3" l="1"/>
  <c r="O5" i="3"/>
  <c r="O4" i="3"/>
  <c r="O6" i="3"/>
  <c r="O7" i="3"/>
  <c r="O9" i="3"/>
  <c r="O3" i="3"/>
  <c r="N7" i="3"/>
  <c r="N5" i="3"/>
  <c r="N9" i="3"/>
  <c r="N8" i="3"/>
  <c r="N6" i="3"/>
  <c r="N4" i="3"/>
  <c r="N3" i="3"/>
  <c r="O7" i="4"/>
  <c r="O6" i="4"/>
  <c r="O5" i="4"/>
  <c r="O8" i="4"/>
  <c r="O9" i="4"/>
  <c r="O4" i="4"/>
  <c r="O3" i="4"/>
  <c r="N9" i="4"/>
  <c r="N4" i="4"/>
  <c r="N5" i="4"/>
  <c r="N6" i="4"/>
  <c r="N7" i="4"/>
  <c r="N8" i="4"/>
  <c r="N3" i="4"/>
</calcChain>
</file>

<file path=xl/sharedStrings.xml><?xml version="1.0" encoding="utf-8"?>
<sst xmlns="http://schemas.openxmlformats.org/spreadsheetml/2006/main" count="316" uniqueCount="58">
  <si>
    <t>P2-1</t>
  </si>
  <si>
    <t>P2-2</t>
  </si>
  <si>
    <t>P2-3</t>
  </si>
  <si>
    <t>P2-4</t>
  </si>
  <si>
    <t>P2-5</t>
  </si>
  <si>
    <t>P2-6</t>
  </si>
  <si>
    <t>P2-7</t>
  </si>
  <si>
    <t>P2-8</t>
  </si>
  <si>
    <t>P3-1</t>
  </si>
  <si>
    <t>P3-2</t>
  </si>
  <si>
    <t>P3-3</t>
  </si>
  <si>
    <t>P3-4</t>
  </si>
  <si>
    <t>P3-5</t>
  </si>
  <si>
    <t>P3-6</t>
  </si>
  <si>
    <t>P3-7</t>
  </si>
  <si>
    <t>P3-8</t>
  </si>
  <si>
    <t>P4-1</t>
  </si>
  <si>
    <t>P4-2</t>
  </si>
  <si>
    <t>P4-3</t>
  </si>
  <si>
    <t>P4-4</t>
  </si>
  <si>
    <t>P4-5</t>
  </si>
  <si>
    <t>P4-6</t>
  </si>
  <si>
    <t>P4-7</t>
  </si>
  <si>
    <t>P4-8</t>
  </si>
  <si>
    <t>Coral ID</t>
  </si>
  <si>
    <t>Season</t>
  </si>
  <si>
    <t>P1-1</t>
  </si>
  <si>
    <t>P1-2</t>
  </si>
  <si>
    <t>P1-3</t>
  </si>
  <si>
    <t>P1-4</t>
  </si>
  <si>
    <t>Spring</t>
  </si>
  <si>
    <t>Summer</t>
  </si>
  <si>
    <t>Fall</t>
  </si>
  <si>
    <t>Winter</t>
  </si>
  <si>
    <t>%N</t>
  </si>
  <si>
    <t>%C</t>
  </si>
  <si>
    <t>NA</t>
  </si>
  <si>
    <t>Sample weigth [mg]</t>
  </si>
  <si>
    <t>mg N per sample</t>
  </si>
  <si>
    <r>
      <t>δ</t>
    </r>
    <r>
      <rPr>
        <b/>
        <vertAlign val="superscript"/>
        <sz val="11"/>
        <color theme="1"/>
        <rFont val="Calibri"/>
        <family val="2"/>
        <scheme val="minor"/>
      </rPr>
      <t>15</t>
    </r>
    <r>
      <rPr>
        <b/>
        <sz val="11"/>
        <color theme="1"/>
        <rFont val="Calibri"/>
        <family val="2"/>
        <scheme val="minor"/>
      </rPr>
      <t xml:space="preserve">N </t>
    </r>
  </si>
  <si>
    <t>mg C per sample</t>
  </si>
  <si>
    <r>
      <t>δ</t>
    </r>
    <r>
      <rPr>
        <b/>
        <vertAlign val="superscript"/>
        <sz val="11"/>
        <color theme="1"/>
        <rFont val="Calibri"/>
        <family val="2"/>
        <scheme val="minor"/>
      </rPr>
      <t>13</t>
    </r>
    <r>
      <rPr>
        <b/>
        <sz val="11"/>
        <color theme="1"/>
        <rFont val="Calibri"/>
        <family val="2"/>
        <scheme val="minor"/>
      </rPr>
      <t>C</t>
    </r>
  </si>
  <si>
    <t>Replicate measurement</t>
  </si>
  <si>
    <t>Samples measured as duplicates</t>
  </si>
  <si>
    <r>
      <t>δ</t>
    </r>
    <r>
      <rPr>
        <b/>
        <vertAlign val="superscript"/>
        <sz val="11"/>
        <color theme="1"/>
        <rFont val="Calibri"/>
        <family val="2"/>
        <scheme val="minor"/>
      </rPr>
      <t>13</t>
    </r>
    <r>
      <rPr>
        <b/>
        <sz val="11"/>
        <color theme="1"/>
        <rFont val="Calibri"/>
        <family val="2"/>
        <scheme val="minor"/>
      </rPr>
      <t>C Measurement 1</t>
    </r>
  </si>
  <si>
    <r>
      <t>δ</t>
    </r>
    <r>
      <rPr>
        <b/>
        <vertAlign val="superscript"/>
        <sz val="11"/>
        <color theme="1"/>
        <rFont val="Calibri"/>
        <family val="2"/>
        <scheme val="minor"/>
      </rPr>
      <t>13</t>
    </r>
    <r>
      <rPr>
        <b/>
        <sz val="11"/>
        <color theme="1"/>
        <rFont val="Calibri"/>
        <family val="2"/>
        <scheme val="minor"/>
      </rPr>
      <t>C Measurement 2</t>
    </r>
  </si>
  <si>
    <t>%C Measurement 1</t>
  </si>
  <si>
    <t>%C Measurement 2</t>
  </si>
  <si>
    <t>Difference in %C in % of the smaller value</t>
  </si>
  <si>
    <r>
      <t>Difference in δ</t>
    </r>
    <r>
      <rPr>
        <b/>
        <vertAlign val="superscript"/>
        <sz val="11"/>
        <color theme="1"/>
        <rFont val="Calibri"/>
        <family val="2"/>
        <scheme val="minor"/>
      </rPr>
      <t>13</t>
    </r>
    <r>
      <rPr>
        <b/>
        <sz val="11"/>
        <color theme="1"/>
        <rFont val="Calibri"/>
        <family val="2"/>
        <scheme val="minor"/>
      </rPr>
      <t>C in % of the smaller value</t>
    </r>
  </si>
  <si>
    <t>These values were excluded from further analysis due to their large variation in duplicate measurements</t>
  </si>
  <si>
    <r>
      <t>δ</t>
    </r>
    <r>
      <rPr>
        <b/>
        <vertAlign val="superscript"/>
        <sz val="11"/>
        <color theme="1"/>
        <rFont val="Calibri"/>
        <family val="2"/>
        <scheme val="minor"/>
      </rPr>
      <t>15</t>
    </r>
    <r>
      <rPr>
        <b/>
        <sz val="11"/>
        <color theme="1"/>
        <rFont val="Calibri"/>
        <family val="2"/>
        <scheme val="minor"/>
      </rPr>
      <t>N</t>
    </r>
  </si>
  <si>
    <r>
      <t>δ</t>
    </r>
    <r>
      <rPr>
        <b/>
        <vertAlign val="superscript"/>
        <sz val="11"/>
        <color theme="1"/>
        <rFont val="Calibri"/>
        <family val="2"/>
        <scheme val="minor"/>
      </rPr>
      <t>15</t>
    </r>
    <r>
      <rPr>
        <b/>
        <sz val="11"/>
        <color theme="1"/>
        <rFont val="Calibri"/>
        <family val="2"/>
        <scheme val="minor"/>
      </rPr>
      <t>N Measurement 1</t>
    </r>
  </si>
  <si>
    <r>
      <t>δ</t>
    </r>
    <r>
      <rPr>
        <b/>
        <vertAlign val="superscript"/>
        <sz val="11"/>
        <color theme="1"/>
        <rFont val="Calibri"/>
        <family val="2"/>
        <scheme val="minor"/>
      </rPr>
      <t>15</t>
    </r>
    <r>
      <rPr>
        <b/>
        <sz val="11"/>
        <color theme="1"/>
        <rFont val="Calibri"/>
        <family val="2"/>
        <scheme val="minor"/>
      </rPr>
      <t>N Measurement 2</t>
    </r>
    <r>
      <rPr>
        <sz val="11"/>
        <color theme="1"/>
        <rFont val="Calibri"/>
        <family val="2"/>
        <scheme val="minor"/>
      </rPr>
      <t/>
    </r>
  </si>
  <si>
    <t>%N Measurement 1</t>
  </si>
  <si>
    <t>%N Measurement 2</t>
  </si>
  <si>
    <t>Difference in %N in % of the smaller value</t>
  </si>
  <si>
    <r>
      <t>Difference in δ</t>
    </r>
    <r>
      <rPr>
        <b/>
        <vertAlign val="superscript"/>
        <sz val="11"/>
        <color theme="1"/>
        <rFont val="Calibri"/>
        <family val="2"/>
        <scheme val="minor"/>
      </rPr>
      <t>15</t>
    </r>
    <r>
      <rPr>
        <b/>
        <sz val="11"/>
        <color theme="1"/>
        <rFont val="Calibri"/>
        <family val="2"/>
        <scheme val="minor"/>
      </rPr>
      <t>N in % of the smaller value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</si>
</sst>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quotePrefix="1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quotePrefix="1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 wrapText="1"/>
    </xf>
    <xf numFmtId="164" fontId="0" fillId="4" borderId="0" xfId="0" quotePrefix="1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workbookViewId="0">
      <selection sqref="A1:F1"/>
    </sheetView>
  </sheetViews>
  <sheetFormatPr defaultRowHeight="14.5" x14ac:dyDescent="0.35"/>
  <cols>
    <col min="1" max="1" width="7.81640625" style="7" bestFit="1" customWidth="1"/>
    <col min="2" max="2" width="7.453125" style="7" bestFit="1" customWidth="1"/>
    <col min="3" max="3" width="17.453125" style="7" bestFit="1" customWidth="1"/>
    <col min="4" max="4" width="5.36328125" style="7" bestFit="1" customWidth="1"/>
    <col min="5" max="5" width="14.90625" style="7" bestFit="1" customWidth="1"/>
    <col min="6" max="6" width="5.36328125" style="7" bestFit="1" customWidth="1"/>
    <col min="7" max="16384" width="8.7265625" style="7"/>
  </cols>
  <sheetData>
    <row r="1" spans="1:6" ht="16.5" x14ac:dyDescent="0.35">
      <c r="A1" s="6" t="s">
        <v>25</v>
      </c>
      <c r="B1" s="6" t="s">
        <v>24</v>
      </c>
      <c r="C1" s="6" t="s">
        <v>37</v>
      </c>
      <c r="D1" s="6" t="s">
        <v>39</v>
      </c>
      <c r="E1" s="6" t="s">
        <v>38</v>
      </c>
      <c r="F1" s="6" t="s">
        <v>34</v>
      </c>
    </row>
    <row r="2" spans="1:6" x14ac:dyDescent="0.35">
      <c r="A2" s="7" t="s">
        <v>30</v>
      </c>
      <c r="B2" s="7" t="s">
        <v>26</v>
      </c>
      <c r="C2" s="7">
        <v>3.69</v>
      </c>
      <c r="D2" s="8">
        <v>3.0379999999999998</v>
      </c>
      <c r="E2" s="9">
        <v>0.19598636199999997</v>
      </c>
      <c r="F2" s="9">
        <v>5.3112835230352298</v>
      </c>
    </row>
    <row r="3" spans="1:6" x14ac:dyDescent="0.35">
      <c r="A3" s="7" t="s">
        <v>30</v>
      </c>
      <c r="B3" s="7" t="s">
        <v>27</v>
      </c>
      <c r="C3" s="7">
        <v>3.63</v>
      </c>
      <c r="D3" s="8">
        <v>2.9</v>
      </c>
      <c r="E3" s="9">
        <v>0.22533539599999999</v>
      </c>
      <c r="F3" s="9">
        <v>6.2075866666666668</v>
      </c>
    </row>
    <row r="4" spans="1:6" x14ac:dyDescent="0.35">
      <c r="A4" s="7" t="s">
        <v>30</v>
      </c>
      <c r="B4" s="7" t="s">
        <v>28</v>
      </c>
      <c r="C4" s="7">
        <v>4.2699999999999996</v>
      </c>
      <c r="D4" s="8">
        <v>2.8759999999999999</v>
      </c>
      <c r="E4" s="9">
        <v>0.24384331399999995</v>
      </c>
      <c r="F4" s="9">
        <v>5.7106162529273998</v>
      </c>
    </row>
    <row r="5" spans="1:6" x14ac:dyDescent="0.35">
      <c r="A5" s="7" t="s">
        <v>30</v>
      </c>
      <c r="B5" s="7" t="s">
        <v>29</v>
      </c>
      <c r="C5" s="7">
        <v>3.08</v>
      </c>
      <c r="D5" s="8">
        <v>2.8879999999999999</v>
      </c>
      <c r="E5" s="9">
        <v>0.19147971699999997</v>
      </c>
      <c r="F5" s="9">
        <v>6.2168739285714274</v>
      </c>
    </row>
    <row r="6" spans="1:6" x14ac:dyDescent="0.35">
      <c r="A6" s="7" t="s">
        <v>31</v>
      </c>
      <c r="B6" s="7" t="s">
        <v>0</v>
      </c>
      <c r="C6" s="7">
        <v>3.67</v>
      </c>
      <c r="D6" s="8">
        <v>3.1469999999999998</v>
      </c>
      <c r="E6" s="9">
        <v>0.21803038399999991</v>
      </c>
      <c r="F6" s="9">
        <v>5.940882397820161</v>
      </c>
    </row>
    <row r="7" spans="1:6" x14ac:dyDescent="0.35">
      <c r="A7" s="7" t="s">
        <v>31</v>
      </c>
      <c r="B7" s="7" t="s">
        <v>1</v>
      </c>
      <c r="C7" s="7">
        <v>3.68</v>
      </c>
      <c r="D7" s="8">
        <v>2.2200000000000002</v>
      </c>
      <c r="E7" s="9">
        <v>0.21735714</v>
      </c>
      <c r="F7" s="9">
        <v>5.9064440217391301</v>
      </c>
    </row>
    <row r="8" spans="1:6" x14ac:dyDescent="0.35">
      <c r="A8" s="7" t="s">
        <v>31</v>
      </c>
      <c r="B8" s="7" t="s">
        <v>2</v>
      </c>
      <c r="C8" s="7">
        <v>4.21</v>
      </c>
      <c r="D8" s="8">
        <v>2.9510000000000001</v>
      </c>
      <c r="E8" s="9">
        <v>0.25626057599999996</v>
      </c>
      <c r="F8" s="9">
        <v>6.0869495486935854</v>
      </c>
    </row>
    <row r="9" spans="1:6" x14ac:dyDescent="0.35">
      <c r="A9" s="7" t="s">
        <v>31</v>
      </c>
      <c r="B9" s="7" t="s">
        <v>3</v>
      </c>
      <c r="C9" s="7">
        <v>4.42</v>
      </c>
      <c r="D9" s="8">
        <v>2.6349999999999998</v>
      </c>
      <c r="E9" s="9">
        <v>0.28709294899999999</v>
      </c>
      <c r="F9" s="9">
        <v>6.495315588235294</v>
      </c>
    </row>
    <row r="10" spans="1:6" x14ac:dyDescent="0.35">
      <c r="A10" s="7" t="s">
        <v>31</v>
      </c>
      <c r="B10" s="7" t="s">
        <v>4</v>
      </c>
      <c r="C10" s="7">
        <v>3.44</v>
      </c>
      <c r="D10" s="8">
        <v>2.5470000000000002</v>
      </c>
      <c r="E10" s="9">
        <v>0.208790582</v>
      </c>
      <c r="F10" s="9">
        <v>6.0694936627906984</v>
      </c>
    </row>
    <row r="11" spans="1:6" x14ac:dyDescent="0.35">
      <c r="A11" s="7" t="s">
        <v>31</v>
      </c>
      <c r="B11" s="7" t="s">
        <v>5</v>
      </c>
      <c r="C11" s="7">
        <v>4.84</v>
      </c>
      <c r="D11" s="8">
        <v>2.7970000000000002</v>
      </c>
      <c r="E11" s="9">
        <v>0.30733273999999999</v>
      </c>
      <c r="F11" s="9">
        <v>6.34985</v>
      </c>
    </row>
    <row r="12" spans="1:6" x14ac:dyDescent="0.35">
      <c r="A12" s="7" t="s">
        <v>31</v>
      </c>
      <c r="B12" s="7" t="s">
        <v>6</v>
      </c>
      <c r="C12" s="7">
        <v>4.41</v>
      </c>
      <c r="D12" s="8">
        <v>2.4780000000000002</v>
      </c>
      <c r="E12" s="9">
        <v>0.27591363799999996</v>
      </c>
      <c r="F12" s="9">
        <v>6.2565450793650781</v>
      </c>
    </row>
    <row r="13" spans="1:6" x14ac:dyDescent="0.35">
      <c r="A13" s="7" t="s">
        <v>31</v>
      </c>
      <c r="B13" s="7" t="s">
        <v>7</v>
      </c>
      <c r="C13" s="7">
        <v>3.76</v>
      </c>
      <c r="D13" s="8">
        <v>2.415</v>
      </c>
      <c r="E13" s="9">
        <v>0.22412890500000002</v>
      </c>
      <c r="F13" s="9">
        <v>5.9608751329787237</v>
      </c>
    </row>
    <row r="14" spans="1:6" x14ac:dyDescent="0.35">
      <c r="A14" s="7" t="s">
        <v>32</v>
      </c>
      <c r="B14" s="7" t="s">
        <v>8</v>
      </c>
      <c r="C14" s="7">
        <v>4.57</v>
      </c>
      <c r="D14" s="8">
        <v>2.726</v>
      </c>
      <c r="E14" s="9">
        <v>0.21107143199999998</v>
      </c>
      <c r="F14" s="9">
        <v>4.6186308971553602</v>
      </c>
    </row>
    <row r="15" spans="1:6" x14ac:dyDescent="0.35">
      <c r="A15" s="7" t="s">
        <v>32</v>
      </c>
      <c r="B15" s="7" t="s">
        <v>9</v>
      </c>
      <c r="C15" s="7">
        <v>4.22</v>
      </c>
      <c r="D15" s="8">
        <v>4.1020000000000003</v>
      </c>
      <c r="E15" s="9">
        <v>0.27167597599999999</v>
      </c>
      <c r="F15" s="9">
        <v>6.4378193364928906</v>
      </c>
    </row>
    <row r="16" spans="1:6" x14ac:dyDescent="0.35">
      <c r="A16" s="7" t="s">
        <v>32</v>
      </c>
      <c r="B16" s="7" t="s">
        <v>10</v>
      </c>
      <c r="C16" s="7">
        <v>4.03</v>
      </c>
      <c r="D16" s="8">
        <v>2.698</v>
      </c>
      <c r="E16" s="9">
        <v>0.26310941799999993</v>
      </c>
      <c r="F16" s="9">
        <v>6.5287696774193522</v>
      </c>
    </row>
    <row r="17" spans="1:6" x14ac:dyDescent="0.35">
      <c r="A17" s="7" t="s">
        <v>32</v>
      </c>
      <c r="B17" s="7" t="s">
        <v>11</v>
      </c>
      <c r="C17" s="7">
        <v>3.41</v>
      </c>
      <c r="D17" s="8">
        <v>2.4780000000000002</v>
      </c>
      <c r="E17" s="9">
        <v>0.21481359899999999</v>
      </c>
      <c r="F17" s="9">
        <v>6.2995190322580639</v>
      </c>
    </row>
    <row r="18" spans="1:6" x14ac:dyDescent="0.35">
      <c r="A18" s="7" t="s">
        <v>32</v>
      </c>
      <c r="B18" s="7" t="s">
        <v>12</v>
      </c>
      <c r="C18" s="7">
        <v>3.75</v>
      </c>
      <c r="D18" s="8">
        <v>2.8210000000000002</v>
      </c>
      <c r="E18" s="9">
        <v>0.24738570999999998</v>
      </c>
      <c r="F18" s="9">
        <v>6.5969522666666656</v>
      </c>
    </row>
    <row r="19" spans="1:6" x14ac:dyDescent="0.35">
      <c r="A19" s="7" t="s">
        <v>32</v>
      </c>
      <c r="B19" s="7" t="s">
        <v>13</v>
      </c>
      <c r="C19" s="7">
        <v>3.14</v>
      </c>
      <c r="D19" s="8">
        <v>2.3140000000000001</v>
      </c>
      <c r="E19" s="9">
        <v>0.22076425799999994</v>
      </c>
      <c r="F19" s="9">
        <v>7.0307088535031825</v>
      </c>
    </row>
    <row r="20" spans="1:6" x14ac:dyDescent="0.35">
      <c r="A20" s="7" t="s">
        <v>32</v>
      </c>
      <c r="B20" s="7" t="s">
        <v>14</v>
      </c>
      <c r="C20" s="7">
        <v>3.75</v>
      </c>
      <c r="D20" s="8">
        <v>2.3199999999999998</v>
      </c>
      <c r="E20" s="9">
        <v>0.26064767299999997</v>
      </c>
      <c r="F20" s="9">
        <v>6.9506046133333319</v>
      </c>
    </row>
    <row r="21" spans="1:6" x14ac:dyDescent="0.35">
      <c r="A21" s="7" t="s">
        <v>32</v>
      </c>
      <c r="B21" s="7" t="s">
        <v>15</v>
      </c>
      <c r="C21" s="7">
        <v>4.25</v>
      </c>
      <c r="D21" s="8">
        <v>2.6819999999999999</v>
      </c>
      <c r="E21" s="9">
        <v>0.306241078</v>
      </c>
      <c r="F21" s="9">
        <v>7.2056724235294123</v>
      </c>
    </row>
    <row r="22" spans="1:6" x14ac:dyDescent="0.35">
      <c r="A22" s="7" t="s">
        <v>33</v>
      </c>
      <c r="B22" s="7" t="s">
        <v>16</v>
      </c>
      <c r="C22" s="7">
        <v>4.09</v>
      </c>
      <c r="D22" s="8">
        <v>2.6720000000000002</v>
      </c>
      <c r="E22" s="9">
        <v>0.21562841299999996</v>
      </c>
      <c r="F22" s="9">
        <v>5.2720883374083121</v>
      </c>
    </row>
    <row r="23" spans="1:6" x14ac:dyDescent="0.35">
      <c r="A23" s="7" t="s">
        <v>33</v>
      </c>
      <c r="B23" s="7" t="s">
        <v>17</v>
      </c>
      <c r="C23" s="7">
        <v>3.21</v>
      </c>
      <c r="D23" s="8">
        <v>4.1740000000000004</v>
      </c>
      <c r="E23" s="9">
        <v>0.20399922399999995</v>
      </c>
      <c r="F23" s="9">
        <v>6.3551160124610577</v>
      </c>
    </row>
    <row r="24" spans="1:6" x14ac:dyDescent="0.35">
      <c r="A24" s="7" t="s">
        <v>33</v>
      </c>
      <c r="B24" s="7" t="s">
        <v>18</v>
      </c>
      <c r="C24" s="7">
        <v>3.32</v>
      </c>
      <c r="D24" s="8">
        <v>3.5199999999999996</v>
      </c>
      <c r="E24" s="9">
        <v>0.20555020200000002</v>
      </c>
      <c r="F24" s="9">
        <v>6.1912711445783142</v>
      </c>
    </row>
    <row r="25" spans="1:6" x14ac:dyDescent="0.35">
      <c r="A25" s="7" t="s">
        <v>33</v>
      </c>
      <c r="B25" s="10" t="s">
        <v>19</v>
      </c>
      <c r="C25" s="7">
        <v>3.86</v>
      </c>
      <c r="D25" s="8">
        <v>2.7810000000000001</v>
      </c>
      <c r="E25" s="9">
        <v>0.17084038399999996</v>
      </c>
      <c r="F25" s="9">
        <v>4.4259166839378228</v>
      </c>
    </row>
    <row r="26" spans="1:6" x14ac:dyDescent="0.35">
      <c r="A26" s="7" t="s">
        <v>33</v>
      </c>
      <c r="B26" s="7" t="s">
        <v>20</v>
      </c>
      <c r="C26" s="7">
        <v>4.2300000000000004</v>
      </c>
      <c r="D26" s="8">
        <v>3.2320000000000002</v>
      </c>
      <c r="E26" s="9">
        <v>0.24125100999999996</v>
      </c>
      <c r="F26" s="9">
        <v>5.703333569739951</v>
      </c>
    </row>
    <row r="27" spans="1:6" x14ac:dyDescent="0.35">
      <c r="A27" s="7" t="s">
        <v>33</v>
      </c>
      <c r="B27" s="7" t="s">
        <v>21</v>
      </c>
      <c r="C27" s="7">
        <v>3.75</v>
      </c>
      <c r="D27" s="8">
        <v>3.7960000000000003</v>
      </c>
      <c r="E27" s="9">
        <v>0.218124764</v>
      </c>
      <c r="F27" s="9">
        <v>5.8166603733333337</v>
      </c>
    </row>
    <row r="28" spans="1:6" x14ac:dyDescent="0.35">
      <c r="A28" s="7" t="s">
        <v>33</v>
      </c>
      <c r="B28" s="7" t="s">
        <v>22</v>
      </c>
      <c r="C28" s="7">
        <v>3.83</v>
      </c>
      <c r="D28" s="8">
        <v>2.367</v>
      </c>
      <c r="E28" s="9">
        <v>0.22282174199999999</v>
      </c>
      <c r="F28" s="9">
        <v>5.8178000522193205</v>
      </c>
    </row>
    <row r="29" spans="1:6" x14ac:dyDescent="0.35">
      <c r="A29" s="7" t="s">
        <v>33</v>
      </c>
      <c r="B29" s="7" t="s">
        <v>23</v>
      </c>
      <c r="C29" s="7">
        <v>4.08</v>
      </c>
      <c r="D29" s="8">
        <v>2.968</v>
      </c>
      <c r="E29" s="9">
        <v>0.23870432299999994</v>
      </c>
      <c r="F29" s="9">
        <v>5.8505961519607821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workbookViewId="0">
      <selection sqref="A1:F1"/>
    </sheetView>
  </sheetViews>
  <sheetFormatPr defaultRowHeight="14.5" x14ac:dyDescent="0.35"/>
  <cols>
    <col min="1" max="1" width="7.81640625" style="2" bestFit="1" customWidth="1"/>
    <col min="2" max="2" width="7.453125" style="2" bestFit="1" customWidth="1"/>
    <col min="3" max="3" width="17.453125" style="2" bestFit="1" customWidth="1"/>
    <col min="4" max="4" width="7" style="2" bestFit="1" customWidth="1"/>
    <col min="5" max="5" width="14.90625" style="2" bestFit="1" customWidth="1"/>
    <col min="6" max="6" width="6.36328125" style="2" bestFit="1" customWidth="1"/>
    <col min="7" max="16384" width="8.7265625" style="2"/>
  </cols>
  <sheetData>
    <row r="1" spans="1:6" ht="16.5" x14ac:dyDescent="0.35">
      <c r="A1" s="1" t="s">
        <v>25</v>
      </c>
      <c r="B1" s="1" t="s">
        <v>24</v>
      </c>
      <c r="C1" s="1" t="s">
        <v>37</v>
      </c>
      <c r="D1" s="1" t="s">
        <v>41</v>
      </c>
      <c r="E1" s="1" t="s">
        <v>40</v>
      </c>
      <c r="F1" s="1" t="s">
        <v>35</v>
      </c>
    </row>
    <row r="2" spans="1:6" x14ac:dyDescent="0.35">
      <c r="A2" s="2" t="s">
        <v>30</v>
      </c>
      <c r="B2" s="2" t="s">
        <v>26</v>
      </c>
      <c r="C2" s="2">
        <v>3.5</v>
      </c>
      <c r="D2" s="3">
        <v>-15.29</v>
      </c>
      <c r="E2" s="4">
        <v>1.7467296000000001</v>
      </c>
      <c r="F2" s="4">
        <v>49.906560000000006</v>
      </c>
    </row>
    <row r="3" spans="1:6" x14ac:dyDescent="0.35">
      <c r="A3" s="2" t="s">
        <v>30</v>
      </c>
      <c r="B3" s="2" t="s">
        <v>27</v>
      </c>
      <c r="C3" s="2">
        <v>4.43</v>
      </c>
      <c r="D3" s="3">
        <v>-15.303000000000001</v>
      </c>
      <c r="E3" s="4">
        <v>2.4194352000000006</v>
      </c>
      <c r="F3" s="4">
        <v>54.614790067720108</v>
      </c>
    </row>
    <row r="4" spans="1:6" x14ac:dyDescent="0.35">
      <c r="A4" s="2" t="s">
        <v>30</v>
      </c>
      <c r="B4" s="2" t="s">
        <v>28</v>
      </c>
      <c r="C4" s="2">
        <v>3.24</v>
      </c>
      <c r="D4" s="3">
        <v>-15.311999999999999</v>
      </c>
      <c r="E4" s="4">
        <v>1.6406376000000003</v>
      </c>
      <c r="F4" s="4">
        <v>50.636962962962976</v>
      </c>
    </row>
    <row r="5" spans="1:6" x14ac:dyDescent="0.35">
      <c r="A5" s="2" t="s">
        <v>30</v>
      </c>
      <c r="B5" s="2" t="s">
        <v>29</v>
      </c>
      <c r="C5" s="2">
        <v>3.97</v>
      </c>
      <c r="D5" s="3">
        <v>-14.712999999999999</v>
      </c>
      <c r="E5" s="4">
        <v>1.9382664000000005</v>
      </c>
      <c r="F5" s="4">
        <v>48.822831234256938</v>
      </c>
    </row>
    <row r="6" spans="1:6" x14ac:dyDescent="0.35">
      <c r="A6" s="2" t="s">
        <v>31</v>
      </c>
      <c r="B6" s="2" t="s">
        <v>0</v>
      </c>
      <c r="C6" s="2">
        <v>3.83</v>
      </c>
      <c r="D6" s="3">
        <v>-15.521000000000001</v>
      </c>
      <c r="E6" s="4">
        <v>2.0858292</v>
      </c>
      <c r="F6" s="4">
        <v>54.460292428198429</v>
      </c>
    </row>
    <row r="7" spans="1:6" x14ac:dyDescent="0.35">
      <c r="A7" s="2" t="s">
        <v>31</v>
      </c>
      <c r="B7" s="2" t="s">
        <v>1</v>
      </c>
      <c r="C7" s="2">
        <v>3.97</v>
      </c>
      <c r="D7" s="3">
        <v>-14.138999999999999</v>
      </c>
      <c r="E7" s="4">
        <v>2.1869820000000004</v>
      </c>
      <c r="F7" s="4">
        <v>55.087707808564232</v>
      </c>
    </row>
    <row r="8" spans="1:6" x14ac:dyDescent="0.35">
      <c r="A8" s="2" t="s">
        <v>31</v>
      </c>
      <c r="B8" s="2" t="s">
        <v>2</v>
      </c>
      <c r="C8" s="2">
        <v>3.52</v>
      </c>
      <c r="D8" s="3">
        <v>-14.922000000000001</v>
      </c>
      <c r="E8" s="4">
        <v>1.8807600000000002</v>
      </c>
      <c r="F8" s="4">
        <v>53.430681818181824</v>
      </c>
    </row>
    <row r="9" spans="1:6" x14ac:dyDescent="0.35">
      <c r="A9" s="2" t="s">
        <v>31</v>
      </c>
      <c r="B9" s="2" t="s">
        <v>3</v>
      </c>
      <c r="C9" s="2">
        <v>4.28</v>
      </c>
      <c r="D9" s="3">
        <v>-14.512</v>
      </c>
      <c r="E9" s="4">
        <v>2.2497804000000006</v>
      </c>
      <c r="F9" s="4">
        <v>42.609477272727283</v>
      </c>
    </row>
    <row r="10" spans="1:6" x14ac:dyDescent="0.35">
      <c r="A10" s="2" t="s">
        <v>31</v>
      </c>
      <c r="B10" s="2" t="s">
        <v>4</v>
      </c>
      <c r="C10" s="2">
        <v>3.75</v>
      </c>
      <c r="D10" s="3">
        <v>-13.993</v>
      </c>
      <c r="E10" s="4">
        <v>2.0567988000000001</v>
      </c>
      <c r="F10" s="4">
        <v>54.847968000000002</v>
      </c>
    </row>
    <row r="11" spans="1:6" x14ac:dyDescent="0.35">
      <c r="A11" s="2" t="s">
        <v>31</v>
      </c>
      <c r="B11" s="2" t="s">
        <v>5</v>
      </c>
      <c r="C11" s="2">
        <v>4.0999999999999996</v>
      </c>
      <c r="D11" s="3">
        <v>-14.715</v>
      </c>
      <c r="E11" s="4">
        <v>2.0755644000000002</v>
      </c>
      <c r="F11" s="4">
        <v>50.623521951219516</v>
      </c>
    </row>
    <row r="12" spans="1:6" x14ac:dyDescent="0.35">
      <c r="A12" s="2" t="s">
        <v>31</v>
      </c>
      <c r="B12" s="2" t="s">
        <v>6</v>
      </c>
      <c r="C12" s="2">
        <v>3.85</v>
      </c>
      <c r="D12" s="3">
        <v>-14.571</v>
      </c>
      <c r="E12" s="4">
        <v>2.1097433999999997</v>
      </c>
      <c r="F12" s="4">
        <v>54.798529870129862</v>
      </c>
    </row>
    <row r="13" spans="1:6" x14ac:dyDescent="0.35">
      <c r="A13" s="2" t="s">
        <v>31</v>
      </c>
      <c r="B13" s="2" t="s">
        <v>7</v>
      </c>
      <c r="C13" s="2">
        <v>4.55</v>
      </c>
      <c r="D13" s="3">
        <v>-15.196999999999999</v>
      </c>
      <c r="E13" s="4">
        <v>2.3648365999999994</v>
      </c>
      <c r="F13" s="4">
        <v>51.974430769230764</v>
      </c>
    </row>
    <row r="14" spans="1:6" x14ac:dyDescent="0.35">
      <c r="A14" s="2" t="s">
        <v>32</v>
      </c>
      <c r="B14" s="2" t="s">
        <v>8</v>
      </c>
      <c r="C14" s="2">
        <v>4.3099999999999996</v>
      </c>
      <c r="D14" s="3">
        <v>-13.648999999999999</v>
      </c>
      <c r="E14" s="4">
        <v>1.2294302000000001</v>
      </c>
      <c r="F14" s="4">
        <v>28.525062645011605</v>
      </c>
    </row>
    <row r="15" spans="1:6" x14ac:dyDescent="0.35">
      <c r="A15" s="2" t="s">
        <v>32</v>
      </c>
      <c r="B15" s="2" t="s">
        <v>9</v>
      </c>
      <c r="C15" s="2">
        <v>4.03</v>
      </c>
      <c r="D15" s="3">
        <v>-15.629</v>
      </c>
      <c r="E15" s="4">
        <v>2.1205965999999998</v>
      </c>
      <c r="F15" s="4">
        <v>52.62026302729528</v>
      </c>
    </row>
    <row r="16" spans="1:6" x14ac:dyDescent="0.35">
      <c r="A16" s="2" t="s">
        <v>32</v>
      </c>
      <c r="B16" s="2" t="s">
        <v>10</v>
      </c>
      <c r="C16" s="2">
        <v>3.85</v>
      </c>
      <c r="D16" s="3">
        <v>-14.632999999999999</v>
      </c>
      <c r="E16" s="4">
        <v>2.0841154</v>
      </c>
      <c r="F16" s="4">
        <v>54.132867532467529</v>
      </c>
    </row>
    <row r="17" spans="1:6" x14ac:dyDescent="0.35">
      <c r="A17" s="2" t="s">
        <v>32</v>
      </c>
      <c r="B17" s="2" t="s">
        <v>11</v>
      </c>
      <c r="C17" s="2">
        <v>3.15</v>
      </c>
      <c r="D17" s="3">
        <v>-14.476000000000001</v>
      </c>
      <c r="E17" s="4">
        <v>1.6881627999999997</v>
      </c>
      <c r="F17" s="4">
        <v>53.086880503144641</v>
      </c>
    </row>
    <row r="18" spans="1:6" x14ac:dyDescent="0.35">
      <c r="A18" s="2" t="s">
        <v>32</v>
      </c>
      <c r="B18" s="2" t="s">
        <v>12</v>
      </c>
      <c r="C18" s="2">
        <v>3.71</v>
      </c>
      <c r="D18" s="3">
        <v>-15.151</v>
      </c>
      <c r="E18" s="4">
        <v>1.9926630000000003</v>
      </c>
      <c r="F18" s="4">
        <v>53.13768000000001</v>
      </c>
    </row>
    <row r="19" spans="1:6" x14ac:dyDescent="0.35">
      <c r="A19" s="2" t="s">
        <v>32</v>
      </c>
      <c r="B19" s="2" t="s">
        <v>13</v>
      </c>
      <c r="C19" s="2">
        <v>4.3600000000000003</v>
      </c>
      <c r="D19" s="3">
        <v>-15.781000000000001</v>
      </c>
      <c r="E19" s="4">
        <v>2.4633238</v>
      </c>
      <c r="F19" s="4">
        <v>56.498252293577977</v>
      </c>
    </row>
    <row r="20" spans="1:6" x14ac:dyDescent="0.35">
      <c r="A20" s="2" t="s">
        <v>32</v>
      </c>
      <c r="B20" s="2" t="s">
        <v>14</v>
      </c>
      <c r="C20" s="2">
        <v>4.51</v>
      </c>
      <c r="D20" s="3">
        <v>-14.996</v>
      </c>
      <c r="E20" s="4">
        <v>2.3599518000000006</v>
      </c>
      <c r="F20" s="4">
        <v>52.32709090909092</v>
      </c>
    </row>
    <row r="21" spans="1:6" x14ac:dyDescent="0.35">
      <c r="A21" s="2" t="s">
        <v>32</v>
      </c>
      <c r="B21" s="2" t="s">
        <v>15</v>
      </c>
      <c r="C21" s="2">
        <v>3.73</v>
      </c>
      <c r="D21" s="3">
        <v>-13.667999999999999</v>
      </c>
      <c r="E21" s="4">
        <v>2.0195036000000002</v>
      </c>
      <c r="F21" s="4">
        <v>54.142187667560329</v>
      </c>
    </row>
    <row r="22" spans="1:6" x14ac:dyDescent="0.35">
      <c r="A22" s="2" t="s">
        <v>33</v>
      </c>
      <c r="B22" s="2" t="s">
        <v>16</v>
      </c>
      <c r="C22" s="2">
        <v>3.88</v>
      </c>
      <c r="D22" s="3">
        <v>-16.809999999999999</v>
      </c>
      <c r="E22" s="4">
        <v>1.7226402000000001</v>
      </c>
      <c r="F22" s="4">
        <v>44.397943298969075</v>
      </c>
    </row>
    <row r="23" spans="1:6" x14ac:dyDescent="0.35">
      <c r="A23" s="2" t="s">
        <v>33</v>
      </c>
      <c r="B23" s="2" t="s">
        <v>17</v>
      </c>
      <c r="C23" s="2">
        <v>3.37</v>
      </c>
      <c r="D23" s="3">
        <v>-15.343</v>
      </c>
      <c r="E23" s="4">
        <v>1.5846359999999999</v>
      </c>
      <c r="F23" s="4">
        <v>47.021839762611272</v>
      </c>
    </row>
    <row r="24" spans="1:6" x14ac:dyDescent="0.35">
      <c r="A24" s="2" t="s">
        <v>33</v>
      </c>
      <c r="B24" s="2" t="s">
        <v>18</v>
      </c>
      <c r="C24" s="2">
        <v>3.89</v>
      </c>
      <c r="D24" s="3">
        <v>-15.843999999999999</v>
      </c>
      <c r="E24" s="4">
        <v>1.8789108000000001</v>
      </c>
      <c r="F24" s="4">
        <v>48.301048843187658</v>
      </c>
    </row>
    <row r="25" spans="1:6" x14ac:dyDescent="0.35">
      <c r="A25" s="2" t="s">
        <v>33</v>
      </c>
      <c r="B25" s="5" t="s">
        <v>19</v>
      </c>
      <c r="C25" s="2">
        <v>3.13</v>
      </c>
      <c r="D25" s="3">
        <v>-16.305999999999997</v>
      </c>
      <c r="E25" s="4">
        <v>1.0208974</v>
      </c>
      <c r="F25" s="4">
        <v>32.616530351437703</v>
      </c>
    </row>
    <row r="26" spans="1:6" x14ac:dyDescent="0.35">
      <c r="A26" s="2" t="s">
        <v>33</v>
      </c>
      <c r="B26" s="2" t="s">
        <v>20</v>
      </c>
      <c r="C26" s="2">
        <v>4.57</v>
      </c>
      <c r="D26" s="3">
        <v>-17.053999999999998</v>
      </c>
      <c r="E26" s="4">
        <v>1.8446742000000003</v>
      </c>
      <c r="F26" s="4">
        <v>40.36486214442013</v>
      </c>
    </row>
    <row r="27" spans="1:6" x14ac:dyDescent="0.35">
      <c r="A27" s="2" t="s">
        <v>33</v>
      </c>
      <c r="B27" s="2" t="s">
        <v>21</v>
      </c>
      <c r="C27" s="2">
        <v>4.05</v>
      </c>
      <c r="D27" s="3">
        <v>-15.074</v>
      </c>
      <c r="E27" s="4">
        <v>1.8845179999999995</v>
      </c>
      <c r="F27" s="4">
        <v>46.531308641975301</v>
      </c>
    </row>
    <row r="28" spans="1:6" x14ac:dyDescent="0.35">
      <c r="A28" s="2" t="s">
        <v>33</v>
      </c>
      <c r="B28" s="2" t="s">
        <v>22</v>
      </c>
      <c r="C28" s="2">
        <v>3.23</v>
      </c>
      <c r="D28" s="3">
        <v>-16.523</v>
      </c>
      <c r="E28" s="4">
        <v>1.5878695999999999</v>
      </c>
      <c r="F28" s="4">
        <v>49.160049535603711</v>
      </c>
    </row>
    <row r="29" spans="1:6" x14ac:dyDescent="0.35">
      <c r="A29" s="2" t="s">
        <v>33</v>
      </c>
      <c r="B29" s="2" t="s">
        <v>23</v>
      </c>
      <c r="C29" s="2">
        <v>3.51</v>
      </c>
      <c r="D29" s="3">
        <v>-14.872</v>
      </c>
      <c r="E29" s="4">
        <v>1.6392115999999999</v>
      </c>
      <c r="F29" s="4">
        <v>46.701185185185182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6"/>
  <sheetViews>
    <sheetView tabSelected="1" workbookViewId="0">
      <selection activeCell="J23" sqref="J23"/>
    </sheetView>
  </sheetViews>
  <sheetFormatPr defaultRowHeight="14.5" x14ac:dyDescent="0.35"/>
  <cols>
    <col min="1" max="1" width="7.81640625" style="2" bestFit="1" customWidth="1"/>
    <col min="2" max="2" width="7.453125" style="2" bestFit="1" customWidth="1"/>
    <col min="3" max="3" width="20.81640625" style="2" bestFit="1" customWidth="1"/>
    <col min="4" max="4" width="17.453125" style="2" bestFit="1" customWidth="1"/>
    <col min="5" max="5" width="5.36328125" style="2" bestFit="1" customWidth="1"/>
    <col min="6" max="6" width="14.90625" style="2" bestFit="1" customWidth="1"/>
    <col min="7" max="7" width="5.36328125" style="2" bestFit="1" customWidth="1"/>
    <col min="8" max="8" width="8.7265625" style="2"/>
    <col min="9" max="9" width="7.453125" style="2" bestFit="1" customWidth="1"/>
    <col min="10" max="11" width="18.1796875" style="2" bestFit="1" customWidth="1"/>
    <col min="12" max="13" width="17.26953125" style="2" bestFit="1" customWidth="1"/>
    <col min="14" max="14" width="36.7265625" style="2" bestFit="1" customWidth="1"/>
    <col min="15" max="15" width="35.81640625" style="2" bestFit="1" customWidth="1"/>
    <col min="16" max="16384" width="8.7265625" style="2"/>
  </cols>
  <sheetData>
    <row r="1" spans="1:15" ht="16.5" x14ac:dyDescent="0.35">
      <c r="A1" s="1" t="s">
        <v>25</v>
      </c>
      <c r="B1" s="1" t="s">
        <v>24</v>
      </c>
      <c r="C1" s="1" t="s">
        <v>42</v>
      </c>
      <c r="D1" s="1" t="s">
        <v>37</v>
      </c>
      <c r="E1" s="6" t="s">
        <v>51</v>
      </c>
      <c r="F1" s="6" t="s">
        <v>38</v>
      </c>
      <c r="G1" s="6" t="s">
        <v>34</v>
      </c>
      <c r="I1" s="12" t="s">
        <v>43</v>
      </c>
      <c r="J1" s="13"/>
      <c r="K1" s="13"/>
      <c r="L1" s="13"/>
      <c r="M1" s="13"/>
      <c r="N1" s="13"/>
      <c r="O1" s="13"/>
    </row>
    <row r="2" spans="1:15" ht="16.5" x14ac:dyDescent="0.35">
      <c r="A2" s="2" t="s">
        <v>30</v>
      </c>
      <c r="B2" s="7" t="s">
        <v>26</v>
      </c>
      <c r="C2" s="7">
        <v>1</v>
      </c>
      <c r="D2" s="3">
        <v>2.48</v>
      </c>
      <c r="E2" s="3">
        <v>3.431</v>
      </c>
      <c r="F2" s="4">
        <v>0.1039768125</v>
      </c>
      <c r="G2" s="4">
        <v>4.1926134072580643</v>
      </c>
      <c r="I2" s="6" t="s">
        <v>24</v>
      </c>
      <c r="J2" s="6" t="s">
        <v>52</v>
      </c>
      <c r="K2" s="6" t="s">
        <v>53</v>
      </c>
      <c r="L2" s="6" t="s">
        <v>54</v>
      </c>
      <c r="M2" s="6" t="s">
        <v>55</v>
      </c>
      <c r="N2" s="6" t="s">
        <v>57</v>
      </c>
      <c r="O2" s="6" t="s">
        <v>56</v>
      </c>
    </row>
    <row r="3" spans="1:15" x14ac:dyDescent="0.35">
      <c r="A3" s="2" t="s">
        <v>30</v>
      </c>
      <c r="B3" s="7" t="s">
        <v>27</v>
      </c>
      <c r="C3" s="7">
        <v>1</v>
      </c>
      <c r="D3" s="3">
        <v>3.3</v>
      </c>
      <c r="E3" s="3">
        <v>2.956</v>
      </c>
      <c r="F3" s="4">
        <v>0.1022692</v>
      </c>
      <c r="G3" s="4">
        <v>3.0990666666666669</v>
      </c>
      <c r="I3" s="7" t="s">
        <v>10</v>
      </c>
      <c r="J3" s="3">
        <v>3.1819999999999999</v>
      </c>
      <c r="K3" s="3">
        <v>2.96</v>
      </c>
      <c r="L3" s="4">
        <v>4.1935236801242235</v>
      </c>
      <c r="M3" s="4">
        <v>4.2231490091463417</v>
      </c>
      <c r="N3" s="9">
        <f>(J3-K3)/K3*100</f>
        <v>7.5</v>
      </c>
      <c r="O3" s="9">
        <f>(L3-M3)/L3*100*(-1)</f>
        <v>0.70645431579488893</v>
      </c>
    </row>
    <row r="4" spans="1:15" x14ac:dyDescent="0.35">
      <c r="A4" s="2" t="s">
        <v>30</v>
      </c>
      <c r="B4" s="7" t="s">
        <v>28</v>
      </c>
      <c r="C4" s="7">
        <v>1</v>
      </c>
      <c r="D4" s="3">
        <v>2.16</v>
      </c>
      <c r="E4" s="3">
        <v>3.6880000000000002</v>
      </c>
      <c r="F4" s="4">
        <v>9.0426325000000002E-2</v>
      </c>
      <c r="G4" s="4">
        <v>4.1864039351851856</v>
      </c>
      <c r="I4" s="7" t="s">
        <v>11</v>
      </c>
      <c r="J4" s="3">
        <v>3.1419999999999999</v>
      </c>
      <c r="K4" s="3">
        <v>3.0510000000000002</v>
      </c>
      <c r="L4" s="17">
        <v>3.7851738310708898</v>
      </c>
      <c r="M4" s="17">
        <v>3.2401858899297435</v>
      </c>
      <c r="N4" s="9">
        <f>(J4-K4)/K4*100</f>
        <v>2.9826286463454523</v>
      </c>
      <c r="O4" s="9">
        <f>(L4-M4)/M4*100</f>
        <v>16.819650466194798</v>
      </c>
    </row>
    <row r="5" spans="1:15" x14ac:dyDescent="0.35">
      <c r="A5" s="2" t="s">
        <v>30</v>
      </c>
      <c r="B5" s="7" t="s">
        <v>29</v>
      </c>
      <c r="C5" s="7">
        <v>1</v>
      </c>
      <c r="D5" s="3">
        <v>2.79</v>
      </c>
      <c r="E5" s="3">
        <v>3.3809999999999998</v>
      </c>
      <c r="F5" s="4">
        <v>9.2031087499999997E-2</v>
      </c>
      <c r="G5" s="4">
        <v>3.2986052867383515</v>
      </c>
      <c r="I5" s="7" t="s">
        <v>12</v>
      </c>
      <c r="J5" s="16">
        <v>3.6040000000000001</v>
      </c>
      <c r="K5" s="16">
        <v>3.97</v>
      </c>
      <c r="L5" s="4">
        <v>4.1757580340264653</v>
      </c>
      <c r="M5" s="4">
        <v>3.8989340044742735</v>
      </c>
      <c r="N5" s="9">
        <f>(J5-K5)/J5*100*(-1)</f>
        <v>10.155382907880135</v>
      </c>
      <c r="O5" s="9">
        <f>(L5-M5)/M5*100</f>
        <v>7.0999926963246542</v>
      </c>
    </row>
    <row r="6" spans="1:15" x14ac:dyDescent="0.35">
      <c r="A6" s="2" t="s">
        <v>31</v>
      </c>
      <c r="B6" s="7" t="s">
        <v>0</v>
      </c>
      <c r="C6" s="7">
        <v>1</v>
      </c>
      <c r="D6" s="3">
        <v>3.97</v>
      </c>
      <c r="E6" s="3">
        <v>4.9180000000000001</v>
      </c>
      <c r="F6" s="4">
        <v>0.12061279999999999</v>
      </c>
      <c r="G6" s="4">
        <v>3.0381057934508813</v>
      </c>
      <c r="I6" s="7" t="s">
        <v>13</v>
      </c>
      <c r="J6" s="3">
        <v>4.0129999999999999</v>
      </c>
      <c r="K6" s="3">
        <v>3.9820000000000002</v>
      </c>
      <c r="L6" s="17">
        <v>3.597973853211009</v>
      </c>
      <c r="M6" s="17">
        <v>4.5744493185689956</v>
      </c>
      <c r="N6" s="9">
        <f>(J6-K6)/K6*100</f>
        <v>0.77850326469110231</v>
      </c>
      <c r="O6" s="9">
        <f t="shared" ref="O4:O9" si="0">(L6-M6)/L6*100*(-1)</f>
        <v>27.139593148697617</v>
      </c>
    </row>
    <row r="7" spans="1:15" x14ac:dyDescent="0.35">
      <c r="A7" s="2" t="s">
        <v>31</v>
      </c>
      <c r="B7" s="7" t="s">
        <v>1</v>
      </c>
      <c r="C7" s="7">
        <v>1</v>
      </c>
      <c r="D7" s="3">
        <v>4.87</v>
      </c>
      <c r="E7" s="3">
        <v>3.3679999999999999</v>
      </c>
      <c r="F7" s="4">
        <v>0.1526944375</v>
      </c>
      <c r="G7" s="4">
        <v>3.1354093942505137</v>
      </c>
      <c r="I7" s="7" t="s">
        <v>14</v>
      </c>
      <c r="J7" s="16">
        <v>4.806</v>
      </c>
      <c r="K7" s="16">
        <v>5.88</v>
      </c>
      <c r="L7" s="4">
        <v>3.776182210708118</v>
      </c>
      <c r="M7" s="4">
        <v>3.8493040878754172</v>
      </c>
      <c r="N7" s="9">
        <f>(J7-K7)/J7*100*(-1)</f>
        <v>22.347066167290883</v>
      </c>
      <c r="O7" s="9">
        <f t="shared" si="0"/>
        <v>1.9363969503364422</v>
      </c>
    </row>
    <row r="8" spans="1:15" x14ac:dyDescent="0.35">
      <c r="A8" s="2" t="s">
        <v>31</v>
      </c>
      <c r="B8" s="7" t="s">
        <v>2</v>
      </c>
      <c r="C8" s="7">
        <v>1</v>
      </c>
      <c r="D8" s="3">
        <v>3.21</v>
      </c>
      <c r="E8" s="3">
        <v>3.407</v>
      </c>
      <c r="F8" s="4">
        <v>0.10692467500000001</v>
      </c>
      <c r="G8" s="4">
        <v>3.330986760124611</v>
      </c>
      <c r="I8" s="7" t="s">
        <v>15</v>
      </c>
      <c r="J8" s="3">
        <v>5.2380000000000004</v>
      </c>
      <c r="K8" s="3">
        <v>4.7969999999999997</v>
      </c>
      <c r="L8" s="4">
        <v>3.9839893617021276</v>
      </c>
      <c r="M8" s="4">
        <v>3.8134743589743594</v>
      </c>
      <c r="N8" s="9">
        <f>(J8-K8)/K8*100</f>
        <v>9.1932457786116473</v>
      </c>
      <c r="O8" s="9">
        <f>(L8-M8)/M8*100</f>
        <v>4.471381912572463</v>
      </c>
    </row>
    <row r="9" spans="1:15" x14ac:dyDescent="0.35">
      <c r="A9" s="2" t="s">
        <v>31</v>
      </c>
      <c r="B9" s="7" t="s">
        <v>3</v>
      </c>
      <c r="C9" s="7">
        <v>1</v>
      </c>
      <c r="D9" s="3">
        <v>2.93</v>
      </c>
      <c r="E9" s="3">
        <v>2.6669999999999998</v>
      </c>
      <c r="F9" s="4">
        <v>8.76085375E-2</v>
      </c>
      <c r="G9" s="4">
        <v>2.9900524744027304</v>
      </c>
      <c r="I9" s="7" t="s">
        <v>18</v>
      </c>
      <c r="J9" s="4">
        <v>4.67</v>
      </c>
      <c r="K9" s="4">
        <v>4.33</v>
      </c>
      <c r="L9" s="17">
        <v>3.2393410064239831</v>
      </c>
      <c r="M9" s="17">
        <v>3.9959341801385682</v>
      </c>
      <c r="N9" s="9">
        <f>(J9-K9)/K9*100</f>
        <v>7.8521939953810582</v>
      </c>
      <c r="O9" s="9">
        <f t="shared" si="0"/>
        <v>23.356391692451471</v>
      </c>
    </row>
    <row r="10" spans="1:15" x14ac:dyDescent="0.35">
      <c r="A10" s="2" t="s">
        <v>31</v>
      </c>
      <c r="B10" s="7" t="s">
        <v>4</v>
      </c>
      <c r="C10" s="7">
        <v>1</v>
      </c>
      <c r="D10" s="3">
        <v>4.49</v>
      </c>
      <c r="E10" s="3">
        <v>3.5019999999999998</v>
      </c>
      <c r="F10" s="4">
        <v>0.13727752499999998</v>
      </c>
      <c r="G10" s="4">
        <v>3.0574059020044539</v>
      </c>
      <c r="I10" s="7"/>
      <c r="K10" s="7"/>
      <c r="M10" s="7"/>
      <c r="N10" s="7"/>
      <c r="O10" s="7"/>
    </row>
    <row r="11" spans="1:15" x14ac:dyDescent="0.35">
      <c r="A11" s="2" t="s">
        <v>31</v>
      </c>
      <c r="B11" s="7" t="s">
        <v>5</v>
      </c>
      <c r="C11" s="7">
        <v>1</v>
      </c>
      <c r="D11" s="3">
        <v>4.5599999999999996</v>
      </c>
      <c r="E11" s="3">
        <v>6.61</v>
      </c>
      <c r="F11" s="4">
        <v>0.15511595</v>
      </c>
      <c r="G11" s="4">
        <v>3.4016655701754392</v>
      </c>
      <c r="I11" s="7"/>
      <c r="J11" s="7"/>
      <c r="K11" s="7"/>
      <c r="M11" s="7"/>
      <c r="N11" s="7"/>
      <c r="O11" s="7"/>
    </row>
    <row r="12" spans="1:15" x14ac:dyDescent="0.35">
      <c r="A12" s="2" t="s">
        <v>31</v>
      </c>
      <c r="B12" s="7" t="s">
        <v>6</v>
      </c>
      <c r="C12" s="7">
        <v>1</v>
      </c>
      <c r="D12" s="3">
        <v>3.36</v>
      </c>
      <c r="E12" s="3">
        <v>3.4340000000000002</v>
      </c>
      <c r="F12" s="4">
        <v>0.10440938750000001</v>
      </c>
      <c r="G12" s="4">
        <v>3.1074222470238095</v>
      </c>
      <c r="I12" s="7"/>
      <c r="J12" s="15" t="s">
        <v>50</v>
      </c>
      <c r="K12" s="15"/>
      <c r="M12" s="7"/>
      <c r="N12" s="7"/>
      <c r="O12" s="7"/>
    </row>
    <row r="13" spans="1:15" x14ac:dyDescent="0.35">
      <c r="A13" s="2" t="s">
        <v>31</v>
      </c>
      <c r="B13" s="7" t="s">
        <v>7</v>
      </c>
      <c r="C13" s="7">
        <v>1</v>
      </c>
      <c r="D13" s="4">
        <v>4.21</v>
      </c>
      <c r="E13" s="3">
        <v>7.976</v>
      </c>
      <c r="F13" s="4">
        <v>0.12281348749999998</v>
      </c>
      <c r="G13" s="4">
        <v>2.9171849762470305</v>
      </c>
      <c r="I13" s="7"/>
      <c r="J13" s="15"/>
      <c r="K13" s="15"/>
      <c r="M13" s="7"/>
      <c r="N13" s="7"/>
      <c r="O13" s="7"/>
    </row>
    <row r="14" spans="1:15" x14ac:dyDescent="0.35">
      <c r="A14" s="2" t="s">
        <v>32</v>
      </c>
      <c r="B14" s="7" t="s">
        <v>8</v>
      </c>
      <c r="C14" s="7">
        <v>1</v>
      </c>
      <c r="D14" s="3">
        <v>7.22</v>
      </c>
      <c r="E14" s="3">
        <v>3.234</v>
      </c>
      <c r="F14" s="4">
        <v>0.34545802500000006</v>
      </c>
      <c r="G14" s="4">
        <v>4.7847371883656526</v>
      </c>
      <c r="I14" s="7"/>
      <c r="J14" s="15"/>
      <c r="K14" s="15"/>
      <c r="M14" s="7"/>
      <c r="N14" s="7"/>
      <c r="O14" s="7"/>
    </row>
    <row r="15" spans="1:15" x14ac:dyDescent="0.35">
      <c r="A15" s="2" t="s">
        <v>32</v>
      </c>
      <c r="B15" s="7" t="s">
        <v>9</v>
      </c>
      <c r="C15" s="7">
        <v>1</v>
      </c>
      <c r="D15" s="3">
        <v>6.89</v>
      </c>
      <c r="E15" s="3">
        <v>3.5720000000000001</v>
      </c>
      <c r="F15" s="4">
        <v>0.2971986875</v>
      </c>
      <c r="G15" s="4">
        <v>4.3134787735849054</v>
      </c>
      <c r="L15" s="4"/>
    </row>
    <row r="16" spans="1:15" x14ac:dyDescent="0.35">
      <c r="A16" s="2" t="s">
        <v>32</v>
      </c>
      <c r="B16" s="7" t="s">
        <v>10</v>
      </c>
      <c r="C16" s="7">
        <v>1</v>
      </c>
      <c r="D16" s="3">
        <v>3.22</v>
      </c>
      <c r="E16" s="3">
        <v>3.1819999999999999</v>
      </c>
      <c r="F16" s="4">
        <v>0.1350314625</v>
      </c>
      <c r="G16" s="4">
        <v>4.1935236801242235</v>
      </c>
      <c r="L16" s="4"/>
    </row>
    <row r="17" spans="1:7" x14ac:dyDescent="0.35">
      <c r="A17" s="2" t="s">
        <v>32</v>
      </c>
      <c r="B17" s="7" t="s">
        <v>10</v>
      </c>
      <c r="C17" s="7">
        <v>2</v>
      </c>
      <c r="D17" s="3">
        <v>3.28</v>
      </c>
      <c r="E17" s="3">
        <v>2.96</v>
      </c>
      <c r="F17" s="4">
        <v>0.1385192875</v>
      </c>
      <c r="G17" s="18">
        <v>4.2231490091463417</v>
      </c>
    </row>
    <row r="18" spans="1:7" x14ac:dyDescent="0.35">
      <c r="A18" s="2" t="s">
        <v>32</v>
      </c>
      <c r="B18" s="7" t="s">
        <v>11</v>
      </c>
      <c r="C18" s="7">
        <v>1</v>
      </c>
      <c r="D18" s="3">
        <v>6.63</v>
      </c>
      <c r="E18" s="3">
        <v>3.1419999999999999</v>
      </c>
      <c r="F18" s="4">
        <v>0.250957025</v>
      </c>
      <c r="G18" s="17">
        <v>3.7851738310708898</v>
      </c>
    </row>
    <row r="19" spans="1:7" x14ac:dyDescent="0.35">
      <c r="A19" s="2" t="s">
        <v>32</v>
      </c>
      <c r="B19" s="7" t="s">
        <v>11</v>
      </c>
      <c r="C19" s="7">
        <v>2</v>
      </c>
      <c r="D19" s="3">
        <v>4.2699999999999996</v>
      </c>
      <c r="E19" s="3">
        <v>3.0510000000000002</v>
      </c>
      <c r="F19" s="4">
        <v>0.13835593750000003</v>
      </c>
      <c r="G19" s="17">
        <v>3.2401858899297435</v>
      </c>
    </row>
    <row r="20" spans="1:7" x14ac:dyDescent="0.35">
      <c r="A20" s="2" t="s">
        <v>32</v>
      </c>
      <c r="B20" s="7" t="s">
        <v>12</v>
      </c>
      <c r="C20" s="7">
        <v>1</v>
      </c>
      <c r="D20" s="3">
        <v>5.29</v>
      </c>
      <c r="E20" s="16">
        <v>3.6040000000000001</v>
      </c>
      <c r="F20" s="4">
        <v>0.2208976</v>
      </c>
      <c r="G20" s="4">
        <v>4.1757580340264653</v>
      </c>
    </row>
    <row r="21" spans="1:7" x14ac:dyDescent="0.35">
      <c r="A21" s="2" t="s">
        <v>32</v>
      </c>
      <c r="B21" s="7" t="s">
        <v>12</v>
      </c>
      <c r="C21" s="7">
        <v>2</v>
      </c>
      <c r="D21" s="3">
        <v>4.47</v>
      </c>
      <c r="E21" s="16">
        <v>3.97</v>
      </c>
      <c r="F21" s="4">
        <v>0.17428235</v>
      </c>
      <c r="G21" s="4">
        <v>3.8989340044742735</v>
      </c>
    </row>
    <row r="22" spans="1:7" x14ac:dyDescent="0.35">
      <c r="A22" s="2" t="s">
        <v>32</v>
      </c>
      <c r="B22" s="7" t="s">
        <v>13</v>
      </c>
      <c r="C22" s="7">
        <v>1</v>
      </c>
      <c r="D22" s="3">
        <v>5.45</v>
      </c>
      <c r="E22" s="3">
        <v>4.0129999999999999</v>
      </c>
      <c r="F22" s="4">
        <v>0.19608957499999999</v>
      </c>
      <c r="G22" s="17">
        <v>3.597973853211009</v>
      </c>
    </row>
    <row r="23" spans="1:7" x14ac:dyDescent="0.35">
      <c r="A23" s="2" t="s">
        <v>32</v>
      </c>
      <c r="B23" s="7" t="s">
        <v>13</v>
      </c>
      <c r="C23" s="7">
        <v>2</v>
      </c>
      <c r="D23" s="3">
        <v>5.87</v>
      </c>
      <c r="E23" s="3">
        <v>3.9820000000000002</v>
      </c>
      <c r="F23" s="4">
        <v>0.26852017500000003</v>
      </c>
      <c r="G23" s="17">
        <v>4.5744493185689956</v>
      </c>
    </row>
    <row r="24" spans="1:7" x14ac:dyDescent="0.35">
      <c r="A24" s="2" t="s">
        <v>32</v>
      </c>
      <c r="B24" s="7" t="s">
        <v>14</v>
      </c>
      <c r="C24" s="7">
        <v>1</v>
      </c>
      <c r="D24" s="3">
        <v>5.79</v>
      </c>
      <c r="E24" s="16">
        <v>4.806</v>
      </c>
      <c r="F24" s="4">
        <v>0.21864095</v>
      </c>
      <c r="G24" s="4">
        <v>3.776182210708118</v>
      </c>
    </row>
    <row r="25" spans="1:7" x14ac:dyDescent="0.35">
      <c r="A25" s="2" t="s">
        <v>32</v>
      </c>
      <c r="B25" s="7" t="s">
        <v>14</v>
      </c>
      <c r="C25" s="10">
        <v>2</v>
      </c>
      <c r="D25" s="3">
        <v>8.99</v>
      </c>
      <c r="E25" s="16">
        <v>5.88</v>
      </c>
      <c r="F25" s="4">
        <v>0.34605243750000003</v>
      </c>
      <c r="G25" s="4">
        <v>3.8493040878754172</v>
      </c>
    </row>
    <row r="26" spans="1:7" x14ac:dyDescent="0.35">
      <c r="A26" s="2" t="s">
        <v>32</v>
      </c>
      <c r="B26" s="7" t="s">
        <v>15</v>
      </c>
      <c r="C26" s="7">
        <v>1</v>
      </c>
      <c r="D26" s="3">
        <v>6.58</v>
      </c>
      <c r="E26" s="3">
        <v>5.2380000000000004</v>
      </c>
      <c r="F26" s="4">
        <v>0.2621465</v>
      </c>
      <c r="G26" s="4">
        <v>3.9839893617021276</v>
      </c>
    </row>
    <row r="27" spans="1:7" x14ac:dyDescent="0.35">
      <c r="A27" s="2" t="s">
        <v>32</v>
      </c>
      <c r="B27" s="7" t="s">
        <v>15</v>
      </c>
      <c r="C27" s="7">
        <v>2</v>
      </c>
      <c r="D27" s="3">
        <v>4.29</v>
      </c>
      <c r="E27" s="3">
        <v>4.7969999999999997</v>
      </c>
      <c r="F27" s="4">
        <v>0.16359805000000002</v>
      </c>
      <c r="G27" s="4">
        <v>3.8134743589743594</v>
      </c>
    </row>
    <row r="28" spans="1:7" x14ac:dyDescent="0.35">
      <c r="A28" s="2" t="s">
        <v>33</v>
      </c>
      <c r="B28" s="7" t="s">
        <v>16</v>
      </c>
      <c r="C28" s="7">
        <v>1</v>
      </c>
      <c r="D28" s="3">
        <v>4.79</v>
      </c>
      <c r="E28" s="3">
        <v>4.4809999999999999</v>
      </c>
      <c r="F28" s="4">
        <v>0.19914936250000004</v>
      </c>
      <c r="G28" s="4">
        <v>4.1576067327766193</v>
      </c>
    </row>
    <row r="29" spans="1:7" x14ac:dyDescent="0.35">
      <c r="A29" s="2" t="s">
        <v>33</v>
      </c>
      <c r="B29" s="7" t="s">
        <v>17</v>
      </c>
      <c r="C29" s="7">
        <v>1</v>
      </c>
      <c r="D29" s="3">
        <v>5.84</v>
      </c>
      <c r="E29" s="3">
        <v>4.9710000000000001</v>
      </c>
      <c r="F29" s="4">
        <v>0.23879501250000001</v>
      </c>
      <c r="G29" s="4">
        <v>4.0889556934931504</v>
      </c>
    </row>
    <row r="30" spans="1:7" x14ac:dyDescent="0.35">
      <c r="A30" s="2" t="s">
        <v>33</v>
      </c>
      <c r="B30" s="7" t="s">
        <v>18</v>
      </c>
      <c r="C30" s="7">
        <v>1</v>
      </c>
      <c r="D30" s="4">
        <v>4.67</v>
      </c>
      <c r="E30" s="3">
        <v>5.01</v>
      </c>
      <c r="F30" s="4">
        <v>0.15127722500000002</v>
      </c>
      <c r="G30" s="17">
        <v>3.2393410064239831</v>
      </c>
    </row>
    <row r="31" spans="1:7" x14ac:dyDescent="0.35">
      <c r="A31" s="2" t="s">
        <v>33</v>
      </c>
      <c r="B31" s="7" t="s">
        <v>18</v>
      </c>
      <c r="C31" s="7">
        <v>2</v>
      </c>
      <c r="D31" s="4">
        <v>4.33</v>
      </c>
      <c r="E31" s="3">
        <v>6.0920000000000005</v>
      </c>
      <c r="F31" s="4">
        <v>0.17302395000000001</v>
      </c>
      <c r="G31" s="17">
        <v>3.9959341801385682</v>
      </c>
    </row>
    <row r="32" spans="1:7" x14ac:dyDescent="0.35">
      <c r="A32" s="2" t="s">
        <v>33</v>
      </c>
      <c r="B32" s="10" t="s">
        <v>19</v>
      </c>
      <c r="C32" s="7">
        <v>1</v>
      </c>
      <c r="D32" s="4">
        <v>4.45</v>
      </c>
      <c r="E32" s="3">
        <v>4.75</v>
      </c>
      <c r="F32" s="4">
        <v>0.18242564999999999</v>
      </c>
      <c r="G32" s="4">
        <v>4.0994528089887634</v>
      </c>
    </row>
    <row r="33" spans="1:7" x14ac:dyDescent="0.35">
      <c r="A33" s="2" t="s">
        <v>33</v>
      </c>
      <c r="B33" s="7" t="s">
        <v>20</v>
      </c>
      <c r="C33" s="7">
        <v>1</v>
      </c>
      <c r="D33" s="4">
        <v>4.13</v>
      </c>
      <c r="E33" s="3">
        <v>4.3550000000000004</v>
      </c>
      <c r="F33" s="4">
        <v>0.18195375</v>
      </c>
      <c r="G33" s="4">
        <v>4.4056598062954002</v>
      </c>
    </row>
    <row r="34" spans="1:7" x14ac:dyDescent="0.35">
      <c r="A34" s="2" t="s">
        <v>33</v>
      </c>
      <c r="B34" s="7" t="s">
        <v>21</v>
      </c>
      <c r="C34" s="7">
        <v>1</v>
      </c>
      <c r="D34" s="4">
        <v>5.26</v>
      </c>
      <c r="E34" s="3">
        <v>5.4370000000000003</v>
      </c>
      <c r="F34" s="4">
        <v>0.19536508750000001</v>
      </c>
      <c r="G34" s="4">
        <v>3.7141651615969584</v>
      </c>
    </row>
    <row r="35" spans="1:7" x14ac:dyDescent="0.35">
      <c r="A35" s="2" t="s">
        <v>33</v>
      </c>
      <c r="B35" s="7" t="s">
        <v>22</v>
      </c>
      <c r="C35" s="7">
        <v>1</v>
      </c>
      <c r="D35" s="4">
        <v>4.16</v>
      </c>
      <c r="E35" s="3">
        <v>4.1989999999999998</v>
      </c>
      <c r="F35" s="4">
        <v>0.16845014999999999</v>
      </c>
      <c r="G35" s="4">
        <v>4.0492824519230766</v>
      </c>
    </row>
    <row r="36" spans="1:7" x14ac:dyDescent="0.35">
      <c r="A36" s="2" t="s">
        <v>33</v>
      </c>
      <c r="B36" s="7" t="s">
        <v>23</v>
      </c>
      <c r="C36" s="7">
        <v>1</v>
      </c>
      <c r="D36" s="4">
        <v>6.29</v>
      </c>
      <c r="E36" s="3">
        <v>5.1079999999999997</v>
      </c>
      <c r="F36" s="4">
        <v>0.25739876249999999</v>
      </c>
      <c r="G36" s="4">
        <v>4.0921901828298886</v>
      </c>
    </row>
  </sheetData>
  <mergeCells count="2">
    <mergeCell ref="I1:O1"/>
    <mergeCell ref="J12:K14"/>
  </mergeCells>
  <phoneticPr fontId="5" type="noConversion"/>
  <pageMargins left="0.7" right="0.7" top="0.75" bottom="0.75" header="0.3" footer="0.3"/>
  <pageSetup paperSize="9" orientation="portrait" r:id="rId1"/>
  <ignoredErrors>
    <ignoredError sqref="N5:N7 O8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6"/>
  <sheetViews>
    <sheetView topLeftCell="A3" workbookViewId="0">
      <selection activeCell="K21" sqref="K21"/>
    </sheetView>
  </sheetViews>
  <sheetFormatPr defaultRowHeight="14.5" x14ac:dyDescent="0.35"/>
  <cols>
    <col min="1" max="1" width="7.81640625" style="7" bestFit="1" customWidth="1"/>
    <col min="2" max="2" width="7.453125" style="7" bestFit="1" customWidth="1"/>
    <col min="3" max="3" width="20.81640625" style="7" bestFit="1" customWidth="1"/>
    <col min="4" max="4" width="17.453125" style="7" bestFit="1" customWidth="1"/>
    <col min="5" max="5" width="7" style="7" bestFit="1" customWidth="1"/>
    <col min="6" max="6" width="14.7265625" style="7" bestFit="1" customWidth="1"/>
    <col min="7" max="7" width="6.36328125" style="7" bestFit="1" customWidth="1"/>
    <col min="8" max="8" width="8.7265625" style="7"/>
    <col min="9" max="9" width="7.453125" style="7" bestFit="1" customWidth="1"/>
    <col min="10" max="11" width="18.1796875" style="7" bestFit="1" customWidth="1"/>
    <col min="12" max="13" width="17.26953125" style="7" bestFit="1" customWidth="1"/>
    <col min="14" max="14" width="37.54296875" style="7" bestFit="1" customWidth="1"/>
    <col min="15" max="15" width="35.81640625" style="7" bestFit="1" customWidth="1"/>
    <col min="16" max="16384" width="8.7265625" style="7"/>
  </cols>
  <sheetData>
    <row r="1" spans="1:15" ht="16.5" x14ac:dyDescent="0.35">
      <c r="A1" s="6" t="s">
        <v>25</v>
      </c>
      <c r="B1" s="6" t="s">
        <v>24</v>
      </c>
      <c r="C1" s="6" t="s">
        <v>42</v>
      </c>
      <c r="D1" s="6" t="s">
        <v>37</v>
      </c>
      <c r="E1" s="6" t="s">
        <v>41</v>
      </c>
      <c r="F1" s="6" t="s">
        <v>40</v>
      </c>
      <c r="G1" s="6" t="s">
        <v>35</v>
      </c>
      <c r="I1" s="12" t="s">
        <v>43</v>
      </c>
      <c r="J1" s="13"/>
      <c r="K1" s="13"/>
      <c r="L1" s="13"/>
      <c r="M1" s="13"/>
      <c r="N1" s="13"/>
      <c r="O1" s="13"/>
    </row>
    <row r="2" spans="1:15" ht="16.5" x14ac:dyDescent="0.35">
      <c r="A2" s="7" t="s">
        <v>30</v>
      </c>
      <c r="B2" s="7" t="s">
        <v>26</v>
      </c>
      <c r="C2" s="7">
        <v>1</v>
      </c>
      <c r="D2" s="8">
        <v>2.14</v>
      </c>
      <c r="E2" s="8">
        <v>-15.705</v>
      </c>
      <c r="F2" s="9">
        <v>1.1919060000000001</v>
      </c>
      <c r="G2" s="9">
        <v>55.696542056074769</v>
      </c>
      <c r="I2" s="6" t="s">
        <v>24</v>
      </c>
      <c r="J2" s="6" t="s">
        <v>44</v>
      </c>
      <c r="K2" s="6" t="s">
        <v>45</v>
      </c>
      <c r="L2" s="6" t="s">
        <v>46</v>
      </c>
      <c r="M2" s="6" t="s">
        <v>47</v>
      </c>
      <c r="N2" s="6" t="s">
        <v>49</v>
      </c>
      <c r="O2" s="6" t="s">
        <v>48</v>
      </c>
    </row>
    <row r="3" spans="1:15" x14ac:dyDescent="0.35">
      <c r="A3" s="7" t="s">
        <v>30</v>
      </c>
      <c r="B3" s="7" t="s">
        <v>27</v>
      </c>
      <c r="C3" s="7">
        <v>1</v>
      </c>
      <c r="D3" s="8">
        <v>2.34</v>
      </c>
      <c r="E3" s="8">
        <v>-15.565</v>
      </c>
      <c r="F3" s="9">
        <v>1.439298</v>
      </c>
      <c r="G3" s="9">
        <v>61.508461538461546</v>
      </c>
      <c r="I3" s="7" t="s">
        <v>10</v>
      </c>
      <c r="J3" s="8">
        <v>-15.395</v>
      </c>
      <c r="K3" s="8">
        <v>-16.089000000000002</v>
      </c>
      <c r="L3" s="9">
        <v>53.503743016759778</v>
      </c>
      <c r="M3" s="9">
        <v>50.170276243093916</v>
      </c>
      <c r="N3" s="9">
        <f>(J3-K3)/J3*100*(-1)</f>
        <v>4.5079571289379841</v>
      </c>
      <c r="O3" s="7">
        <f>(L3-M3)/M3*100</f>
        <v>6.6443061973865918</v>
      </c>
    </row>
    <row r="4" spans="1:15" x14ac:dyDescent="0.35">
      <c r="A4" s="7" t="s">
        <v>30</v>
      </c>
      <c r="B4" s="7" t="s">
        <v>28</v>
      </c>
      <c r="C4" s="7">
        <v>1</v>
      </c>
      <c r="D4" s="8">
        <v>2.14</v>
      </c>
      <c r="E4" s="8">
        <v>-15.404</v>
      </c>
      <c r="F4" s="9">
        <v>1.1394360000000001</v>
      </c>
      <c r="G4" s="9">
        <v>53.244672897196267</v>
      </c>
      <c r="I4" s="7" t="s">
        <v>11</v>
      </c>
      <c r="J4" s="8">
        <v>-14.997999999999999</v>
      </c>
      <c r="K4" s="8">
        <v>-15.115</v>
      </c>
      <c r="L4" s="14">
        <v>31.592603305785126</v>
      </c>
      <c r="M4" s="14">
        <v>75.836150442477873</v>
      </c>
      <c r="N4" s="9">
        <f t="shared" ref="N4:N9" si="0">(J4-K4)/J4*100*(-1)</f>
        <v>0.78010401386852168</v>
      </c>
      <c r="O4" s="7">
        <f>(L4-M4)/L4*100*(-1)</f>
        <v>140.04400558086022</v>
      </c>
    </row>
    <row r="5" spans="1:15" x14ac:dyDescent="0.35">
      <c r="A5" s="7" t="s">
        <v>30</v>
      </c>
      <c r="B5" s="7" t="s">
        <v>29</v>
      </c>
      <c r="C5" s="7">
        <v>1</v>
      </c>
      <c r="D5" s="8">
        <v>2.5499999999999998</v>
      </c>
      <c r="E5" s="8">
        <v>-14.987</v>
      </c>
      <c r="F5" s="9">
        <v>1.55619</v>
      </c>
      <c r="G5" s="9">
        <v>61.027058823529416</v>
      </c>
      <c r="I5" s="7" t="s">
        <v>12</v>
      </c>
      <c r="J5" s="8">
        <v>-15.414</v>
      </c>
      <c r="K5" s="8">
        <v>-16.306999999999999</v>
      </c>
      <c r="L5" s="14">
        <v>33.247633711507298</v>
      </c>
      <c r="M5" s="14">
        <v>55.883739130434797</v>
      </c>
      <c r="N5" s="9">
        <f t="shared" si="0"/>
        <v>5.7934345400285387</v>
      </c>
      <c r="O5" s="7">
        <f t="shared" ref="O5:O9" si="1">(L5-M5)/L5*100*(-1)</f>
        <v>68.083357797258643</v>
      </c>
    </row>
    <row r="6" spans="1:15" x14ac:dyDescent="0.35">
      <c r="A6" s="7" t="s">
        <v>31</v>
      </c>
      <c r="B6" s="7" t="s">
        <v>0</v>
      </c>
      <c r="C6" s="7">
        <v>1</v>
      </c>
      <c r="D6" s="8">
        <v>4.5199999999999996</v>
      </c>
      <c r="E6" s="8">
        <v>-15.565</v>
      </c>
      <c r="F6" s="9">
        <v>2.7364229999999998</v>
      </c>
      <c r="G6" s="9">
        <v>60.540331858407079</v>
      </c>
      <c r="I6" s="7" t="s">
        <v>13</v>
      </c>
      <c r="J6" s="8">
        <v>-14.766999999999999</v>
      </c>
      <c r="K6" s="8">
        <v>-15.026</v>
      </c>
      <c r="L6" s="9">
        <v>47.84106907894737</v>
      </c>
      <c r="M6" s="9">
        <v>44.514000000000003</v>
      </c>
      <c r="N6" s="9">
        <f t="shared" si="0"/>
        <v>1.7539107469357373</v>
      </c>
      <c r="O6" s="7">
        <f>(L6-M6)/M6*100</f>
        <v>7.4742082916551364</v>
      </c>
    </row>
    <row r="7" spans="1:15" x14ac:dyDescent="0.35">
      <c r="A7" s="7" t="s">
        <v>31</v>
      </c>
      <c r="B7" s="7" t="s">
        <v>1</v>
      </c>
      <c r="C7" s="7">
        <v>1</v>
      </c>
      <c r="D7" s="8">
        <v>3.21</v>
      </c>
      <c r="E7" s="8">
        <v>-14.292</v>
      </c>
      <c r="F7" s="9">
        <v>2.0878830000000002</v>
      </c>
      <c r="G7" s="9">
        <v>65.043084112149543</v>
      </c>
      <c r="I7" s="7" t="s">
        <v>14</v>
      </c>
      <c r="J7" s="8">
        <v>-14.561999999999999</v>
      </c>
      <c r="K7" s="8">
        <v>-15.02</v>
      </c>
      <c r="L7" s="14">
        <v>75.004518633540357</v>
      </c>
      <c r="M7" s="14">
        <v>31.881330561330568</v>
      </c>
      <c r="N7" s="9">
        <f t="shared" si="0"/>
        <v>3.1451723664331834</v>
      </c>
      <c r="O7" s="7">
        <f>(L7-M7)/M7*100</f>
        <v>135.26156942933449</v>
      </c>
    </row>
    <row r="8" spans="1:15" x14ac:dyDescent="0.35">
      <c r="A8" s="7" t="s">
        <v>31</v>
      </c>
      <c r="B8" s="7" t="s">
        <v>2</v>
      </c>
      <c r="C8" s="7">
        <v>1</v>
      </c>
      <c r="D8" s="8">
        <v>3.3</v>
      </c>
      <c r="E8" s="8">
        <v>-14.917999999999999</v>
      </c>
      <c r="F8" s="9">
        <v>2.0060370000000005</v>
      </c>
      <c r="G8" s="9">
        <v>60.789000000000016</v>
      </c>
      <c r="I8" s="7" t="s">
        <v>15</v>
      </c>
      <c r="J8" s="8">
        <v>-13.558999999999999</v>
      </c>
      <c r="K8" s="8">
        <v>-14.377000000000001</v>
      </c>
      <c r="L8" s="14">
        <v>24.458005617977527</v>
      </c>
      <c r="M8" s="14">
        <v>83.347291139240525</v>
      </c>
      <c r="N8" s="9">
        <f t="shared" si="0"/>
        <v>6.032893281215439</v>
      </c>
      <c r="O8" s="7">
        <f t="shared" si="1"/>
        <v>240.77713629265514</v>
      </c>
    </row>
    <row r="9" spans="1:15" x14ac:dyDescent="0.35">
      <c r="A9" s="7" t="s">
        <v>31</v>
      </c>
      <c r="B9" s="7" t="s">
        <v>3</v>
      </c>
      <c r="C9" s="7">
        <v>1</v>
      </c>
      <c r="D9" s="8">
        <v>3.16</v>
      </c>
      <c r="E9" s="8">
        <v>-14.335000000000001</v>
      </c>
      <c r="F9" s="9">
        <v>2.1094919999999999</v>
      </c>
      <c r="G9" s="9">
        <v>66.756075949367087</v>
      </c>
      <c r="I9" s="7" t="s">
        <v>18</v>
      </c>
      <c r="J9" s="8">
        <v>-15.769</v>
      </c>
      <c r="K9" s="8">
        <v>-15.526999999999999</v>
      </c>
      <c r="L9" s="14">
        <v>45.747050092764383</v>
      </c>
      <c r="M9" s="14">
        <v>55.596346153846163</v>
      </c>
      <c r="N9" s="9">
        <f>(J9-K9)/K9*100</f>
        <v>1.5585753848135562</v>
      </c>
      <c r="O9" s="7">
        <f t="shared" si="1"/>
        <v>21.529904203898827</v>
      </c>
    </row>
    <row r="10" spans="1:15" x14ac:dyDescent="0.35">
      <c r="A10" s="7" t="s">
        <v>31</v>
      </c>
      <c r="B10" s="7" t="s">
        <v>4</v>
      </c>
      <c r="C10" s="7">
        <v>1</v>
      </c>
      <c r="D10" s="8">
        <v>3.06</v>
      </c>
      <c r="E10" s="8">
        <v>-14.04</v>
      </c>
      <c r="F10" s="9">
        <v>1.7851140000000001</v>
      </c>
      <c r="G10" s="9">
        <v>58.337058823529411</v>
      </c>
      <c r="L10" s="9"/>
    </row>
    <row r="11" spans="1:15" ht="14.5" customHeight="1" x14ac:dyDescent="0.35">
      <c r="A11" s="7" t="s">
        <v>31</v>
      </c>
      <c r="B11" s="7" t="s">
        <v>5</v>
      </c>
      <c r="C11" s="7">
        <v>1</v>
      </c>
      <c r="D11" s="8">
        <v>4.4000000000000004</v>
      </c>
      <c r="E11" s="8">
        <v>-14.641</v>
      </c>
      <c r="F11" s="9">
        <v>2.6769150000000002</v>
      </c>
      <c r="G11" s="9">
        <v>60.83897727272727</v>
      </c>
    </row>
    <row r="12" spans="1:15" x14ac:dyDescent="0.35">
      <c r="A12" s="7" t="s">
        <v>31</v>
      </c>
      <c r="B12" s="7" t="s">
        <v>6</v>
      </c>
      <c r="C12" s="7">
        <v>1</v>
      </c>
      <c r="D12" s="8">
        <v>2.73</v>
      </c>
      <c r="E12" s="8">
        <v>-14.897</v>
      </c>
      <c r="F12" s="9">
        <v>1.5530040000000001</v>
      </c>
      <c r="G12" s="9">
        <v>56.886593406593413</v>
      </c>
      <c r="J12" s="15" t="s">
        <v>50</v>
      </c>
      <c r="K12" s="15"/>
    </row>
    <row r="13" spans="1:15" x14ac:dyDescent="0.35">
      <c r="A13" s="7" t="s">
        <v>31</v>
      </c>
      <c r="B13" s="7" t="s">
        <v>7</v>
      </c>
      <c r="C13" s="7">
        <v>1</v>
      </c>
      <c r="D13" s="8">
        <v>4.16</v>
      </c>
      <c r="E13" s="8">
        <v>-15.291</v>
      </c>
      <c r="F13" s="9">
        <v>2.5558650000000003</v>
      </c>
      <c r="G13" s="9">
        <v>61.439062500000006</v>
      </c>
      <c r="J13" s="15"/>
      <c r="K13" s="15"/>
    </row>
    <row r="14" spans="1:15" x14ac:dyDescent="0.35">
      <c r="A14" s="7" t="s">
        <v>32</v>
      </c>
      <c r="B14" s="7" t="s">
        <v>8</v>
      </c>
      <c r="C14" s="7">
        <v>1</v>
      </c>
      <c r="D14" s="8">
        <v>6.82</v>
      </c>
      <c r="E14" s="8">
        <v>-13.645</v>
      </c>
      <c r="F14" s="9">
        <v>3.1941000000000002</v>
      </c>
      <c r="G14" s="9">
        <v>46.834310850439884</v>
      </c>
      <c r="J14" s="15"/>
      <c r="K14" s="15"/>
      <c r="L14" s="9"/>
    </row>
    <row r="15" spans="1:15" x14ac:dyDescent="0.35">
      <c r="A15" s="7" t="s">
        <v>32</v>
      </c>
      <c r="B15" s="7" t="s">
        <v>9</v>
      </c>
      <c r="C15" s="7">
        <v>1</v>
      </c>
      <c r="D15" s="8">
        <v>6.35</v>
      </c>
      <c r="E15" s="8">
        <v>-16.048000000000002</v>
      </c>
      <c r="F15" s="9">
        <v>3.6667799999999997</v>
      </c>
      <c r="G15" s="9">
        <v>57.744566929133853</v>
      </c>
      <c r="L15" s="9"/>
    </row>
    <row r="16" spans="1:15" x14ac:dyDescent="0.35">
      <c r="A16" s="7" t="s">
        <v>32</v>
      </c>
      <c r="B16" s="7" t="s">
        <v>10</v>
      </c>
      <c r="C16" s="7">
        <v>1</v>
      </c>
      <c r="D16" s="8">
        <v>3.58</v>
      </c>
      <c r="E16" s="8">
        <v>-15.395</v>
      </c>
      <c r="F16" s="9">
        <v>1.9154340000000001</v>
      </c>
      <c r="G16" s="9">
        <v>53.503743016759778</v>
      </c>
      <c r="L16" s="9"/>
    </row>
    <row r="17" spans="1:13" x14ac:dyDescent="0.35">
      <c r="A17" s="7" t="s">
        <v>32</v>
      </c>
      <c r="B17" s="7" t="s">
        <v>10</v>
      </c>
      <c r="C17" s="7">
        <v>2</v>
      </c>
      <c r="D17" s="8">
        <v>3.62</v>
      </c>
      <c r="E17" s="8">
        <v>-16.089000000000002</v>
      </c>
      <c r="F17" s="9">
        <v>1.8161639999999999</v>
      </c>
      <c r="G17" s="9">
        <v>50.170276243093916</v>
      </c>
    </row>
    <row r="18" spans="1:13" x14ac:dyDescent="0.35">
      <c r="A18" s="7" t="s">
        <v>32</v>
      </c>
      <c r="B18" s="7" t="s">
        <v>11</v>
      </c>
      <c r="C18" s="7">
        <v>1</v>
      </c>
      <c r="D18" s="8">
        <v>7.26</v>
      </c>
      <c r="E18" s="8">
        <v>-14.997999999999999</v>
      </c>
      <c r="F18" s="14">
        <v>2.2936230000000002</v>
      </c>
      <c r="G18" s="14">
        <v>31.592603305785126</v>
      </c>
      <c r="I18" s="10"/>
      <c r="L18" s="9"/>
      <c r="M18" s="9"/>
    </row>
    <row r="19" spans="1:13" x14ac:dyDescent="0.35">
      <c r="A19" s="7" t="s">
        <v>32</v>
      </c>
      <c r="B19" s="7" t="s">
        <v>11</v>
      </c>
      <c r="C19" s="7">
        <v>2</v>
      </c>
      <c r="D19" s="8">
        <v>4.5199999999999996</v>
      </c>
      <c r="E19" s="8">
        <v>-15.115</v>
      </c>
      <c r="F19" s="14">
        <v>3.4277939999999996</v>
      </c>
      <c r="G19" s="14">
        <v>75.836150442477873</v>
      </c>
      <c r="L19" s="9"/>
      <c r="M19" s="9"/>
    </row>
    <row r="20" spans="1:13" x14ac:dyDescent="0.35">
      <c r="A20" s="7" t="s">
        <v>32</v>
      </c>
      <c r="B20" s="7" t="s">
        <v>12</v>
      </c>
      <c r="C20" s="7">
        <v>1</v>
      </c>
      <c r="D20" s="8">
        <v>6.17</v>
      </c>
      <c r="E20" s="8">
        <v>-15.414</v>
      </c>
      <c r="F20" s="14">
        <v>2.0513790000000003</v>
      </c>
      <c r="G20" s="14">
        <v>33.247633711507298</v>
      </c>
      <c r="L20" s="9"/>
      <c r="M20" s="9"/>
    </row>
    <row r="21" spans="1:13" x14ac:dyDescent="0.35">
      <c r="A21" s="7" t="s">
        <v>32</v>
      </c>
      <c r="B21" s="7" t="s">
        <v>12</v>
      </c>
      <c r="C21" s="7">
        <v>2</v>
      </c>
      <c r="D21" s="8">
        <v>4.5999999999999996</v>
      </c>
      <c r="E21" s="8">
        <v>-16.306999999999999</v>
      </c>
      <c r="F21" s="14">
        <v>2.5706520000000004</v>
      </c>
      <c r="G21" s="14">
        <v>55.883739130434797</v>
      </c>
      <c r="L21" s="11"/>
      <c r="M21" s="11"/>
    </row>
    <row r="22" spans="1:13" x14ac:dyDescent="0.35">
      <c r="A22" s="7" t="s">
        <v>32</v>
      </c>
      <c r="B22" s="7" t="s">
        <v>13</v>
      </c>
      <c r="C22" s="7">
        <v>1</v>
      </c>
      <c r="D22" s="8">
        <v>6.08</v>
      </c>
      <c r="E22" s="8">
        <v>-14.766999999999999</v>
      </c>
      <c r="F22" s="9">
        <v>2.9087369999999999</v>
      </c>
      <c r="G22" s="9">
        <v>47.84106907894737</v>
      </c>
      <c r="L22" s="11"/>
      <c r="M22" s="11"/>
    </row>
    <row r="23" spans="1:13" x14ac:dyDescent="0.35">
      <c r="A23" s="7" t="s">
        <v>32</v>
      </c>
      <c r="B23" s="7" t="s">
        <v>13</v>
      </c>
      <c r="C23" s="7">
        <v>2</v>
      </c>
      <c r="D23" s="8">
        <v>6.7</v>
      </c>
      <c r="E23" s="8">
        <v>-15.026</v>
      </c>
      <c r="F23" s="9">
        <v>2.9824380000000001</v>
      </c>
      <c r="G23" s="9">
        <v>44.514000000000003</v>
      </c>
    </row>
    <row r="24" spans="1:13" x14ac:dyDescent="0.35">
      <c r="A24" s="7" t="s">
        <v>32</v>
      </c>
      <c r="B24" s="7" t="s">
        <v>14</v>
      </c>
      <c r="C24" s="7">
        <v>1</v>
      </c>
      <c r="D24" s="8">
        <v>6.44</v>
      </c>
      <c r="E24" s="8">
        <v>-14.561999999999999</v>
      </c>
      <c r="F24" s="14">
        <v>4.8302909999999999</v>
      </c>
      <c r="G24" s="14">
        <v>75.004518633540357</v>
      </c>
    </row>
    <row r="25" spans="1:13" x14ac:dyDescent="0.35">
      <c r="A25" s="7" t="s">
        <v>32</v>
      </c>
      <c r="B25" s="7" t="s">
        <v>14</v>
      </c>
      <c r="C25" s="10">
        <v>2</v>
      </c>
      <c r="D25" s="8">
        <v>9.6199999999999992</v>
      </c>
      <c r="E25" s="8">
        <v>-15.02</v>
      </c>
      <c r="F25" s="14">
        <v>3.0669840000000002</v>
      </c>
      <c r="G25" s="14">
        <v>31.881330561330568</v>
      </c>
    </row>
    <row r="26" spans="1:13" x14ac:dyDescent="0.35">
      <c r="A26" s="7" t="s">
        <v>32</v>
      </c>
      <c r="B26" s="7" t="s">
        <v>15</v>
      </c>
      <c r="C26" s="7">
        <v>1</v>
      </c>
      <c r="D26" s="8">
        <v>7.12</v>
      </c>
      <c r="E26" s="8">
        <v>-13.558999999999999</v>
      </c>
      <c r="F26" s="14">
        <v>1.7414099999999999</v>
      </c>
      <c r="G26" s="14">
        <v>24.458005617977527</v>
      </c>
    </row>
    <row r="27" spans="1:13" x14ac:dyDescent="0.35">
      <c r="A27" s="7" t="s">
        <v>32</v>
      </c>
      <c r="B27" s="7" t="s">
        <v>15</v>
      </c>
      <c r="C27" s="7">
        <v>2</v>
      </c>
      <c r="D27" s="8">
        <v>3.95</v>
      </c>
      <c r="E27" s="8">
        <v>-14.377000000000001</v>
      </c>
      <c r="F27" s="14">
        <v>3.2922180000000005</v>
      </c>
      <c r="G27" s="14">
        <v>83.347291139240525</v>
      </c>
    </row>
    <row r="28" spans="1:13" x14ac:dyDescent="0.35">
      <c r="A28" s="7" t="s">
        <v>33</v>
      </c>
      <c r="B28" s="7" t="s">
        <v>16</v>
      </c>
      <c r="C28" s="7">
        <v>1</v>
      </c>
      <c r="D28" s="8">
        <v>5.17</v>
      </c>
      <c r="E28" s="8">
        <v>-16.61</v>
      </c>
      <c r="F28" s="9">
        <v>2.2551749999999999</v>
      </c>
      <c r="G28" s="9">
        <v>43.620406189555126</v>
      </c>
    </row>
    <row r="29" spans="1:13" x14ac:dyDescent="0.35">
      <c r="A29" s="7" t="s">
        <v>33</v>
      </c>
      <c r="B29" s="7" t="s">
        <v>17</v>
      </c>
      <c r="C29" s="7">
        <v>1</v>
      </c>
      <c r="D29" s="8">
        <v>6.37</v>
      </c>
      <c r="E29" s="8">
        <v>-15.023999999999999</v>
      </c>
      <c r="F29" s="9">
        <v>3.0074400000000003</v>
      </c>
      <c r="G29" s="9">
        <v>47.212558869701731</v>
      </c>
    </row>
    <row r="30" spans="1:13" x14ac:dyDescent="0.35">
      <c r="A30" s="7" t="s">
        <v>33</v>
      </c>
      <c r="B30" s="7" t="s">
        <v>18</v>
      </c>
      <c r="C30" s="7">
        <v>1</v>
      </c>
      <c r="D30" s="8">
        <v>5.39</v>
      </c>
      <c r="E30" s="8">
        <v>-15.769</v>
      </c>
      <c r="F30" s="14">
        <v>2.4657659999999999</v>
      </c>
      <c r="G30" s="14">
        <v>45.747050092764383</v>
      </c>
    </row>
    <row r="31" spans="1:13" x14ac:dyDescent="0.35">
      <c r="A31" s="7" t="s">
        <v>33</v>
      </c>
      <c r="B31" s="7" t="s">
        <v>18</v>
      </c>
      <c r="C31" s="7">
        <v>2</v>
      </c>
      <c r="D31" s="8">
        <v>4.68</v>
      </c>
      <c r="E31" s="8">
        <v>-15.526999999999999</v>
      </c>
      <c r="F31" s="14">
        <v>2.6019090000000005</v>
      </c>
      <c r="G31" s="14">
        <v>55.596346153846163</v>
      </c>
    </row>
    <row r="32" spans="1:13" x14ac:dyDescent="0.35">
      <c r="A32" s="7" t="s">
        <v>33</v>
      </c>
      <c r="B32" s="10" t="s">
        <v>19</v>
      </c>
      <c r="C32" s="7">
        <v>1</v>
      </c>
      <c r="D32" s="8">
        <v>4.96</v>
      </c>
      <c r="E32" s="8">
        <v>-15.843</v>
      </c>
      <c r="F32" s="9">
        <v>2.5513019999999997</v>
      </c>
      <c r="G32" s="9">
        <v>51.437540322580645</v>
      </c>
    </row>
    <row r="33" spans="1:7" x14ac:dyDescent="0.35">
      <c r="A33" s="7" t="s">
        <v>33</v>
      </c>
      <c r="B33" s="7" t="s">
        <v>20</v>
      </c>
      <c r="C33" s="7">
        <v>1</v>
      </c>
      <c r="D33" s="8">
        <v>4.51</v>
      </c>
      <c r="E33" s="8">
        <v>-17.042000000000002</v>
      </c>
      <c r="F33" s="9">
        <v>2.2109040000000002</v>
      </c>
      <c r="G33" s="9">
        <v>49.022261640798234</v>
      </c>
    </row>
    <row r="34" spans="1:7" x14ac:dyDescent="0.35">
      <c r="A34" s="7" t="s">
        <v>33</v>
      </c>
      <c r="B34" s="7" t="s">
        <v>21</v>
      </c>
      <c r="C34" s="7">
        <v>1</v>
      </c>
      <c r="D34" s="9">
        <v>5.66</v>
      </c>
      <c r="E34" s="8">
        <v>-14.775</v>
      </c>
      <c r="F34" s="9">
        <v>3.1323239999999997</v>
      </c>
      <c r="G34" s="9">
        <v>55.341413427561825</v>
      </c>
    </row>
    <row r="35" spans="1:7" x14ac:dyDescent="0.35">
      <c r="A35" s="7" t="s">
        <v>33</v>
      </c>
      <c r="B35" s="7" t="s">
        <v>22</v>
      </c>
      <c r="C35" s="7">
        <v>1</v>
      </c>
      <c r="D35" s="9">
        <v>4.4800000000000004</v>
      </c>
      <c r="E35" s="11" t="s">
        <v>36</v>
      </c>
      <c r="F35" s="11" t="s">
        <v>36</v>
      </c>
      <c r="G35" s="11" t="s">
        <v>36</v>
      </c>
    </row>
    <row r="36" spans="1:7" x14ac:dyDescent="0.35">
      <c r="A36" s="7" t="s">
        <v>33</v>
      </c>
      <c r="B36" s="7" t="s">
        <v>23</v>
      </c>
      <c r="C36" s="7">
        <v>1</v>
      </c>
      <c r="D36" s="9">
        <v>6.85</v>
      </c>
      <c r="E36" s="11" t="s">
        <v>36</v>
      </c>
      <c r="F36" s="11" t="s">
        <v>36</v>
      </c>
      <c r="G36" s="11" t="s">
        <v>36</v>
      </c>
    </row>
  </sheetData>
  <mergeCells count="2">
    <mergeCell ref="I1:O1"/>
    <mergeCell ref="J12:K14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Algal symbionts non-acidified</vt:lpstr>
      <vt:lpstr>Algal symbionts acidified</vt:lpstr>
      <vt:lpstr>Host tissue non-acidified</vt:lpstr>
      <vt:lpstr>Host tissue acidified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Nauras</dc:creator>
  <cp:lastModifiedBy>Nauras Daraghmeh</cp:lastModifiedBy>
  <dcterms:created xsi:type="dcterms:W3CDTF">2020-09-13T14:35:15Z</dcterms:created>
  <dcterms:modified xsi:type="dcterms:W3CDTF">2026-03-31T16:06:28Z</dcterms:modified>
</cp:coreProperties>
</file>