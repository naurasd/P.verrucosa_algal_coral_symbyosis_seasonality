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raw data/"/>
    </mc:Choice>
  </mc:AlternateContent>
  <xr:revisionPtr revIDLastSave="60" documentId="8_{8D9787F5-563A-434D-AD16-F7B1E3C289B4}" xr6:coauthVersionLast="47" xr6:coauthVersionMax="47" xr10:uidLastSave="{E5EB441A-3C0E-43E3-AA5D-193B9AAC9218}"/>
  <bookViews>
    <workbookView xWindow="-110" yWindow="-110" windowWidth="19420" windowHeight="11500" activeTab="3" xr2:uid="{A4085870-BAD1-4875-8409-577F1619D83A}"/>
  </bookViews>
  <sheets>
    <sheet name="Chlorophyll a" sheetId="1" r:id="rId1"/>
    <sheet name="nifH" sheetId="2" r:id="rId2"/>
    <sheet name="Mitotic index" sheetId="3" r:id="rId3"/>
    <sheet name="Algal symbiont dens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P3" i="4"/>
  <c r="I4" i="4"/>
  <c r="P4" i="4"/>
  <c r="I5" i="4"/>
  <c r="P5" i="4"/>
  <c r="I6" i="4"/>
  <c r="P6" i="4"/>
  <c r="I7" i="4"/>
  <c r="P7" i="4"/>
  <c r="I8" i="4"/>
  <c r="P8" i="4"/>
  <c r="I9" i="4"/>
  <c r="P9" i="4"/>
  <c r="I10" i="4"/>
  <c r="P10" i="4"/>
  <c r="I11" i="4"/>
  <c r="P11" i="4"/>
  <c r="I12" i="4"/>
  <c r="P12" i="4"/>
  <c r="I13" i="4"/>
  <c r="P13" i="4"/>
  <c r="I14" i="4"/>
  <c r="P14" i="4"/>
  <c r="I15" i="4"/>
  <c r="P15" i="4"/>
  <c r="I16" i="4"/>
  <c r="P16" i="4"/>
  <c r="I17" i="4"/>
  <c r="P17" i="4"/>
  <c r="I18" i="4"/>
  <c r="P18" i="4"/>
  <c r="I19" i="4"/>
  <c r="P19" i="4"/>
  <c r="I20" i="4"/>
  <c r="P20" i="4"/>
  <c r="I21" i="4"/>
  <c r="P21" i="4"/>
  <c r="I22" i="4"/>
  <c r="P22" i="4"/>
  <c r="I23" i="4"/>
  <c r="P23" i="4"/>
  <c r="I24" i="4"/>
  <c r="P24" i="4"/>
  <c r="I25" i="4"/>
  <c r="P25" i="4"/>
  <c r="I26" i="4"/>
  <c r="P26" i="4"/>
  <c r="I27" i="4"/>
  <c r="P27" i="4"/>
  <c r="I28" i="4"/>
  <c r="P28" i="4"/>
  <c r="I29" i="4"/>
  <c r="P29" i="4"/>
  <c r="I30" i="4"/>
  <c r="P30" i="4"/>
  <c r="O3" i="3"/>
  <c r="AB3" i="3"/>
  <c r="O4" i="3"/>
  <c r="AB4" i="3"/>
  <c r="O5" i="3"/>
  <c r="AB5" i="3"/>
  <c r="O6" i="3"/>
  <c r="AB6" i="3"/>
  <c r="O7" i="3"/>
  <c r="AB7" i="3"/>
  <c r="O8" i="3"/>
  <c r="AB8" i="3"/>
  <c r="O9" i="3"/>
  <c r="AB9" i="3"/>
  <c r="O10" i="3"/>
  <c r="AB10" i="3"/>
  <c r="O11" i="3"/>
  <c r="AB11" i="3"/>
  <c r="O12" i="3"/>
  <c r="AB12" i="3"/>
  <c r="O13" i="3"/>
  <c r="AB13" i="3"/>
  <c r="O14" i="3"/>
  <c r="AB14" i="3"/>
  <c r="O15" i="3"/>
  <c r="AB15" i="3"/>
  <c r="O16" i="3"/>
  <c r="AB16" i="3"/>
  <c r="O17" i="3"/>
  <c r="AB17" i="3"/>
  <c r="O18" i="3"/>
  <c r="AB18" i="3"/>
  <c r="O19" i="3"/>
  <c r="AB19" i="3"/>
  <c r="O20" i="3"/>
  <c r="AB20" i="3"/>
  <c r="O21" i="3"/>
  <c r="AB21" i="3"/>
  <c r="O22" i="3"/>
  <c r="AB22" i="3"/>
  <c r="O23" i="3"/>
  <c r="AB23" i="3"/>
  <c r="O24" i="3"/>
  <c r="AB24" i="3"/>
  <c r="O25" i="3"/>
  <c r="AB25" i="3"/>
  <c r="O26" i="3"/>
  <c r="AB26" i="3"/>
  <c r="O27" i="3"/>
  <c r="AB27" i="3"/>
  <c r="O28" i="3"/>
  <c r="AB28" i="3"/>
  <c r="O29" i="3"/>
  <c r="AB29" i="3"/>
  <c r="O30" i="3"/>
  <c r="AB30" i="3"/>
  <c r="F2" i="2"/>
  <c r="J2" i="2"/>
  <c r="K2" i="2" s="1"/>
  <c r="F3" i="2"/>
  <c r="J3" i="2"/>
  <c r="K3" i="2"/>
  <c r="F4" i="2"/>
  <c r="J4" i="2"/>
  <c r="K4" i="2" s="1"/>
  <c r="F5" i="2"/>
  <c r="K5" i="2" s="1"/>
  <c r="J5" i="2"/>
  <c r="F6" i="2"/>
  <c r="J6" i="2"/>
  <c r="K6" i="2"/>
  <c r="N4" i="2" s="1"/>
  <c r="F7" i="2"/>
  <c r="J7" i="2"/>
  <c r="K7" i="2"/>
  <c r="F8" i="2"/>
  <c r="J8" i="2"/>
  <c r="K8" i="2" s="1"/>
  <c r="F9" i="2"/>
  <c r="J9" i="2"/>
  <c r="K9" i="2" s="1"/>
  <c r="F10" i="2"/>
  <c r="J10" i="2"/>
  <c r="K10" i="2" s="1"/>
  <c r="F11" i="2"/>
  <c r="J11" i="2"/>
  <c r="K11" i="2"/>
  <c r="F12" i="2"/>
  <c r="J12" i="2"/>
  <c r="K12" i="2" s="1"/>
  <c r="F13" i="2"/>
  <c r="J13" i="2"/>
  <c r="K13" i="2" s="1"/>
  <c r="F14" i="2"/>
  <c r="J14" i="2"/>
  <c r="K14" i="2" s="1"/>
  <c r="F15" i="2"/>
  <c r="J15" i="2"/>
  <c r="K15" i="2"/>
  <c r="F16" i="2"/>
  <c r="J16" i="2"/>
  <c r="K16" i="2" s="1"/>
  <c r="F17" i="2"/>
  <c r="J17" i="2"/>
  <c r="K17" i="2" s="1"/>
  <c r="F18" i="2"/>
  <c r="J18" i="2"/>
  <c r="K18" i="2" s="1"/>
  <c r="F19" i="2"/>
  <c r="J19" i="2"/>
  <c r="K19" i="2"/>
  <c r="F20" i="2"/>
  <c r="F21" i="2"/>
  <c r="J21" i="2"/>
  <c r="K21" i="2" s="1"/>
  <c r="F22" i="2"/>
  <c r="J22" i="2"/>
  <c r="K22" i="2"/>
  <c r="N6" i="2" s="1"/>
  <c r="P6" i="2" s="1"/>
  <c r="F23" i="2"/>
  <c r="F24" i="2"/>
  <c r="J24" i="2"/>
  <c r="K24" i="2"/>
  <c r="F25" i="2"/>
  <c r="F26" i="2"/>
  <c r="F27" i="2"/>
  <c r="J27" i="2"/>
  <c r="K27" i="2" s="1"/>
  <c r="F29" i="2"/>
  <c r="J29" i="2"/>
  <c r="K29" i="2"/>
  <c r="F30" i="2"/>
  <c r="Q6" i="2" l="1"/>
  <c r="P4" i="2"/>
  <c r="N5" i="2"/>
  <c r="P5" i="2" s="1"/>
  <c r="O5" i="2"/>
  <c r="R5" i="2" s="1"/>
  <c r="N3" i="2"/>
  <c r="P3" i="2" s="1"/>
  <c r="O3" i="2"/>
  <c r="R3" i="2" s="1"/>
  <c r="O4" i="2"/>
  <c r="R4" i="2" s="1"/>
  <c r="O6" i="2"/>
  <c r="R6" i="2" s="1"/>
  <c r="S6" i="2" s="1"/>
  <c r="T6" i="2" s="1"/>
  <c r="R2" i="1"/>
  <c r="Q29" i="1"/>
  <c r="Q28" i="1"/>
  <c r="Q19" i="1"/>
  <c r="Q18" i="1"/>
  <c r="Q17" i="1"/>
  <c r="Q16" i="1"/>
  <c r="Q15" i="1"/>
  <c r="S15" i="1" s="1"/>
  <c r="U15" i="1" s="1"/>
  <c r="Q7" i="1"/>
  <c r="Q6" i="1"/>
  <c r="Q5" i="1"/>
  <c r="S5" i="1" s="1"/>
  <c r="U5" i="1" s="1"/>
  <c r="Q4" i="1"/>
  <c r="S4" i="1" s="1"/>
  <c r="U4" i="1" s="1"/>
  <c r="Q3" i="1"/>
  <c r="S3" i="1" s="1"/>
  <c r="U3" i="1" s="1"/>
  <c r="Q2" i="1"/>
  <c r="S2" i="1" s="1"/>
  <c r="U2" i="1" s="1"/>
  <c r="I3" i="1"/>
  <c r="I4" i="1"/>
  <c r="I5" i="1"/>
  <c r="I6" i="1"/>
  <c r="I7" i="1"/>
  <c r="I8" i="1"/>
  <c r="Q8" i="1" s="1"/>
  <c r="I9" i="1"/>
  <c r="Q9" i="1" s="1"/>
  <c r="I10" i="1"/>
  <c r="Q10" i="1" s="1"/>
  <c r="S10" i="1" s="1"/>
  <c r="U10" i="1" s="1"/>
  <c r="I11" i="1"/>
  <c r="Q11" i="1" s="1"/>
  <c r="S11" i="1" s="1"/>
  <c r="U11" i="1" s="1"/>
  <c r="I12" i="1"/>
  <c r="Q12" i="1" s="1"/>
  <c r="S12" i="1" s="1"/>
  <c r="U12" i="1" s="1"/>
  <c r="I13" i="1"/>
  <c r="Q13" i="1" s="1"/>
  <c r="S13" i="1" s="1"/>
  <c r="U13" i="1" s="1"/>
  <c r="I14" i="1"/>
  <c r="Q14" i="1" s="1"/>
  <c r="I15" i="1"/>
  <c r="I16" i="1"/>
  <c r="I17" i="1"/>
  <c r="I18" i="1"/>
  <c r="I19" i="1"/>
  <c r="I20" i="1"/>
  <c r="Q20" i="1" s="1"/>
  <c r="I21" i="1"/>
  <c r="Q21" i="1" s="1"/>
  <c r="I22" i="1"/>
  <c r="Q22" i="1" s="1"/>
  <c r="S22" i="1" s="1"/>
  <c r="U22" i="1" s="1"/>
  <c r="I23" i="1"/>
  <c r="Q23" i="1" s="1"/>
  <c r="S23" i="1" s="1"/>
  <c r="U23" i="1" s="1"/>
  <c r="I24" i="1"/>
  <c r="Q24" i="1" s="1"/>
  <c r="S24" i="1" s="1"/>
  <c r="U24" i="1" s="1"/>
  <c r="I25" i="1"/>
  <c r="Q25" i="1" s="1"/>
  <c r="S25" i="1" s="1"/>
  <c r="U25" i="1" s="1"/>
  <c r="I26" i="1"/>
  <c r="Q26" i="1" s="1"/>
  <c r="I27" i="1"/>
  <c r="Q27" i="1" s="1"/>
  <c r="I28" i="1"/>
  <c r="I29" i="1"/>
  <c r="I30" i="1"/>
  <c r="I31" i="1"/>
  <c r="R3" i="1" s="1"/>
  <c r="I32" i="1"/>
  <c r="R4" i="1" s="1"/>
  <c r="I33" i="1"/>
  <c r="R5" i="1" s="1"/>
  <c r="I34" i="1"/>
  <c r="R6" i="1" s="1"/>
  <c r="S6" i="1" s="1"/>
  <c r="U6" i="1" s="1"/>
  <c r="I35" i="1"/>
  <c r="R7" i="1" s="1"/>
  <c r="S7" i="1" s="1"/>
  <c r="U7" i="1" s="1"/>
  <c r="I36" i="1"/>
  <c r="R8" i="1" s="1"/>
  <c r="I37" i="1"/>
  <c r="R9" i="1" s="1"/>
  <c r="I38" i="1"/>
  <c r="R10" i="1" s="1"/>
  <c r="I39" i="1"/>
  <c r="R11" i="1" s="1"/>
  <c r="I40" i="1"/>
  <c r="R12" i="1" s="1"/>
  <c r="I41" i="1"/>
  <c r="R13" i="1" s="1"/>
  <c r="I42" i="1"/>
  <c r="R14" i="1" s="1"/>
  <c r="I43" i="1"/>
  <c r="R15" i="1" s="1"/>
  <c r="I44" i="1"/>
  <c r="R16" i="1" s="1"/>
  <c r="I45" i="1"/>
  <c r="R17" i="1" s="1"/>
  <c r="I46" i="1"/>
  <c r="R18" i="1" s="1"/>
  <c r="I47" i="1"/>
  <c r="R19" i="1" s="1"/>
  <c r="I48" i="1"/>
  <c r="R20" i="1" s="1"/>
  <c r="I49" i="1"/>
  <c r="R21" i="1" s="1"/>
  <c r="I50" i="1"/>
  <c r="R22" i="1" s="1"/>
  <c r="I51" i="1"/>
  <c r="R23" i="1" s="1"/>
  <c r="I52" i="1"/>
  <c r="R24" i="1" s="1"/>
  <c r="I53" i="1"/>
  <c r="R25" i="1" s="1"/>
  <c r="I54" i="1"/>
  <c r="R26" i="1" s="1"/>
  <c r="I55" i="1"/>
  <c r="R27" i="1" s="1"/>
  <c r="I56" i="1"/>
  <c r="R28" i="1" s="1"/>
  <c r="I57" i="1"/>
  <c r="R29" i="1" s="1"/>
  <c r="I2" i="1"/>
  <c r="Q3" i="2" l="1"/>
  <c r="S3" i="2"/>
  <c r="T3" i="2" s="1"/>
  <c r="Q5" i="2"/>
  <c r="S5" i="2"/>
  <c r="T5" i="2" s="1"/>
  <c r="Q4" i="2"/>
  <c r="S4" i="2"/>
  <c r="T4" i="2" s="1"/>
  <c r="S21" i="1"/>
  <c r="U21" i="1" s="1"/>
  <c r="S8" i="1"/>
  <c r="U8" i="1" s="1"/>
  <c r="S16" i="1"/>
  <c r="U16" i="1" s="1"/>
  <c r="S9" i="1"/>
  <c r="U9" i="1" s="1"/>
  <c r="S20" i="1"/>
  <c r="U20" i="1" s="1"/>
  <c r="S17" i="1"/>
  <c r="U17" i="1" s="1"/>
  <c r="S18" i="1"/>
  <c r="U18" i="1" s="1"/>
  <c r="S19" i="1"/>
  <c r="U19" i="1" s="1"/>
  <c r="S27" i="1"/>
  <c r="U27" i="1" s="1"/>
  <c r="S28" i="1"/>
  <c r="U28" i="1" s="1"/>
  <c r="S26" i="1"/>
  <c r="U26" i="1" s="1"/>
  <c r="S14" i="1"/>
  <c r="U14" i="1" s="1"/>
  <c r="S29" i="1"/>
  <c r="U29" i="1" s="1"/>
</calcChain>
</file>

<file path=xl/sharedStrings.xml><?xml version="1.0" encoding="utf-8"?>
<sst xmlns="http://schemas.openxmlformats.org/spreadsheetml/2006/main" count="454" uniqueCount="72">
  <si>
    <t>fb</t>
  </si>
  <si>
    <t>fa</t>
  </si>
  <si>
    <t>notes</t>
  </si>
  <si>
    <t>Season</t>
  </si>
  <si>
    <t>diluted</t>
  </si>
  <si>
    <t>Spring</t>
  </si>
  <si>
    <t>Summer</t>
  </si>
  <si>
    <t>Fall</t>
  </si>
  <si>
    <t>Winter</t>
  </si>
  <si>
    <t>Date measured</t>
  </si>
  <si>
    <t>Coral ID</t>
  </si>
  <si>
    <t>P1-1</t>
  </si>
  <si>
    <t>P1-2</t>
  </si>
  <si>
    <t>P1-3</t>
  </si>
  <si>
    <t>P1-4</t>
  </si>
  <si>
    <t>P2-1</t>
  </si>
  <si>
    <t>P2-2</t>
  </si>
  <si>
    <t>P2-3</t>
  </si>
  <si>
    <t>P2-4</t>
  </si>
  <si>
    <t>P2-5</t>
  </si>
  <si>
    <t>P2-6</t>
  </si>
  <si>
    <t>P2-7</t>
  </si>
  <si>
    <t>P2-8</t>
  </si>
  <si>
    <t>P3-1</t>
  </si>
  <si>
    <t>P3-2</t>
  </si>
  <si>
    <t>P3-3</t>
  </si>
  <si>
    <t>P3-4</t>
  </si>
  <si>
    <t>P3-5</t>
  </si>
  <si>
    <t>P3-6</t>
  </si>
  <si>
    <t>P3-7</t>
  </si>
  <si>
    <t>P3-8</t>
  </si>
  <si>
    <t>P4-1</t>
  </si>
  <si>
    <t>P4-2</t>
  </si>
  <si>
    <t>P4-3</t>
  </si>
  <si>
    <t>P4-4</t>
  </si>
  <si>
    <t>P4-5</t>
  </si>
  <si>
    <t>P4-6</t>
  </si>
  <si>
    <t>P4-7</t>
  </si>
  <si>
    <t>P4-8</t>
  </si>
  <si>
    <t>Replicate</t>
  </si>
  <si>
    <t>Symbiont cells per uL</t>
  </si>
  <si>
    <t>Chl a pg per symbiont cell</t>
  </si>
  <si>
    <t>Outlier, removed from further analysis</t>
  </si>
  <si>
    <t>Calibration factor</t>
  </si>
  <si>
    <t>Dilution factor</t>
  </si>
  <si>
    <t>fb - fa</t>
  </si>
  <si>
    <t>Chl a pg/uL replicate 1</t>
  </si>
  <si>
    <t>Chl a pg/uL replicate 2</t>
  </si>
  <si>
    <t>Average Chl a pg/uL</t>
  </si>
  <si>
    <t>HCl (ul)</t>
  </si>
  <si>
    <t>f blank mean</t>
  </si>
  <si>
    <t>Undetermined</t>
  </si>
  <si>
    <t>△UCI</t>
  </si>
  <si>
    <t>UCI</t>
  </si>
  <si>
    <t>ERROR</t>
  </si>
  <si>
    <t>FOLD CHANGE</t>
  </si>
  <si>
    <t>△△Ct</t>
  </si>
  <si>
    <t>△Ct SE</t>
  </si>
  <si>
    <t>△Ct mean</t>
  </si>
  <si>
    <t>Season average</t>
  </si>
  <si>
    <t>nifH-16s</t>
  </si>
  <si>
    <t>Average</t>
  </si>
  <si>
    <t>nifH</t>
  </si>
  <si>
    <t>16S Ct</t>
  </si>
  <si>
    <t>Mitotic Index</t>
  </si>
  <si>
    <t>Dividing?</t>
  </si>
  <si>
    <t>Total cells</t>
  </si>
  <si>
    <t>Count 2</t>
  </si>
  <si>
    <t>Count 1</t>
  </si>
  <si>
    <t>(x)</t>
  </si>
  <si>
    <t>sum</t>
  </si>
  <si>
    <t>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</si>
</sst>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0\ 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B2B2B2"/>
      </top>
      <bottom/>
      <diagonal/>
    </border>
    <border>
      <left/>
      <right style="thin">
        <color auto="1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5">
    <xf numFmtId="0" fontId="0" fillId="0" borderId="0"/>
    <xf numFmtId="0" fontId="3" fillId="2" borderId="1" applyProtection="0"/>
    <xf numFmtId="0" fontId="1" fillId="0" borderId="0"/>
    <xf numFmtId="0" fontId="6" fillId="6" borderId="0" applyNumberFormat="0" applyBorder="0" applyAlignment="0" applyProtection="0"/>
    <xf numFmtId="0" fontId="7" fillId="0" borderId="0"/>
  </cellStyleXfs>
  <cellXfs count="51">
    <xf numFmtId="0" fontId="0" fillId="0" borderId="0" xfId="0"/>
    <xf numFmtId="0" fontId="4" fillId="3" borderId="2" xfId="1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2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4"/>
    <xf numFmtId="0" fontId="7" fillId="0" borderId="0" xfId="4" applyAlignment="1">
      <alignment horizontal="center"/>
    </xf>
    <xf numFmtId="165" fontId="7" fillId="0" borderId="0" xfId="4" applyNumberFormat="1" applyAlignment="1">
      <alignment horizontal="center"/>
    </xf>
    <xf numFmtId="0" fontId="8" fillId="0" borderId="0" xfId="4" applyFont="1" applyAlignment="1">
      <alignment horizontal="center"/>
    </xf>
    <xf numFmtId="165" fontId="8" fillId="0" borderId="0" xfId="4" applyNumberFormat="1" applyFont="1" applyAlignment="1">
      <alignment horizontal="center"/>
    </xf>
    <xf numFmtId="165" fontId="8" fillId="0" borderId="0" xfId="4" applyNumberFormat="1" applyFont="1" applyAlignment="1">
      <alignment horizontal="center" vertical="center"/>
    </xf>
    <xf numFmtId="165" fontId="6" fillId="6" borderId="0" xfId="3" applyNumberFormat="1" applyAlignment="1">
      <alignment horizontal="center" vertical="center"/>
    </xf>
    <xf numFmtId="165" fontId="7" fillId="7" borderId="0" xfId="4" applyNumberFormat="1" applyFill="1" applyAlignment="1">
      <alignment horizontal="center" vertical="center"/>
    </xf>
    <xf numFmtId="0" fontId="1" fillId="0" borderId="0" xfId="2"/>
    <xf numFmtId="165" fontId="6" fillId="6" borderId="0" xfId="3" applyNumberFormat="1" applyAlignment="1">
      <alignment horizontal="center"/>
    </xf>
    <xf numFmtId="0" fontId="7" fillId="7" borderId="0" xfId="4" applyFill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2" fillId="0" borderId="0" xfId="4" applyFont="1" applyAlignment="1">
      <alignment horizontal="center"/>
    </xf>
    <xf numFmtId="0" fontId="2" fillId="0" borderId="0" xfId="4" applyFont="1"/>
    <xf numFmtId="165" fontId="8" fillId="0" borderId="0" xfId="4" applyNumberFormat="1" applyFont="1" applyAlignment="1">
      <alignment horizontal="center"/>
    </xf>
    <xf numFmtId="1" fontId="7" fillId="0" borderId="0" xfId="4" applyNumberFormat="1" applyAlignment="1">
      <alignment horizontal="center" vertical="center"/>
    </xf>
    <xf numFmtId="0" fontId="7" fillId="0" borderId="0" xfId="4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0" fontId="2" fillId="4" borderId="2" xfId="4" applyFont="1" applyFill="1" applyBorder="1" applyAlignment="1">
      <alignment horizontal="center"/>
    </xf>
    <xf numFmtId="0" fontId="2" fillId="4" borderId="2" xfId="4" applyFont="1" applyFill="1" applyBorder="1"/>
    <xf numFmtId="0" fontId="7" fillId="0" borderId="0" xfId="4" applyAlignment="1">
      <alignment horizontal="center"/>
    </xf>
    <xf numFmtId="0" fontId="9" fillId="4" borderId="2" xfId="4" applyFont="1" applyFill="1" applyBorder="1" applyAlignment="1">
      <alignment horizontal="center"/>
    </xf>
    <xf numFmtId="0" fontId="9" fillId="4" borderId="2" xfId="4" applyFont="1" applyFill="1" applyBorder="1" applyAlignment="1">
      <alignment horizontal="center" vertical="center"/>
    </xf>
    <xf numFmtId="0" fontId="9" fillId="4" borderId="2" xfId="4" applyFont="1" applyFill="1" applyBorder="1" applyAlignment="1">
      <alignment horizontal="center" vertical="center"/>
    </xf>
    <xf numFmtId="0" fontId="10" fillId="3" borderId="2" xfId="1" applyFont="1" applyFill="1" applyBorder="1" applyProtection="1"/>
    <xf numFmtId="0" fontId="10" fillId="3" borderId="2" xfId="1" applyFont="1" applyFill="1" applyBorder="1" applyAlignment="1" applyProtection="1">
      <alignment horizontal="center"/>
    </xf>
    <xf numFmtId="166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4" fillId="2" borderId="1" xfId="1" applyFont="1" applyAlignment="1" applyProtection="1">
      <alignment horizontal="center" vertical="center"/>
    </xf>
    <xf numFmtId="0" fontId="4" fillId="2" borderId="1" xfId="1" applyFont="1" applyProtection="1"/>
    <xf numFmtId="0" fontId="4" fillId="2" borderId="1" xfId="1" applyFont="1" applyAlignment="1" applyProtection="1">
      <alignment horizontal="center"/>
    </xf>
    <xf numFmtId="0" fontId="4" fillId="2" borderId="1" xfId="1" applyFont="1" applyAlignment="1" applyProtection="1">
      <alignment horizontal="center" vertical="center"/>
    </xf>
    <xf numFmtId="0" fontId="0" fillId="8" borderId="0" xfId="0" applyFill="1" applyAlignment="1">
      <alignment horizontal="center"/>
    </xf>
    <xf numFmtId="0" fontId="4" fillId="2" borderId="7" xfId="1" applyFont="1" applyBorder="1" applyAlignment="1" applyProtection="1">
      <alignment horizontal="center"/>
    </xf>
    <xf numFmtId="0" fontId="4" fillId="2" borderId="8" xfId="1" applyFont="1" applyBorder="1" applyAlignment="1" applyProtection="1">
      <alignment horizontal="center"/>
    </xf>
  </cellXfs>
  <cellStyles count="5">
    <cellStyle name="Bad" xfId="3" builtinId="27"/>
    <cellStyle name="Excel Built-in Note" xfId="1" xr:uid="{215F781A-6E83-418D-8705-A86938D8EAD7}"/>
    <cellStyle name="Normal" xfId="0" builtinId="0"/>
    <cellStyle name="Normal 2" xfId="2" xr:uid="{4A122D9E-FA83-4E76-8144-FF9A7389D579}"/>
    <cellStyle name="Normal 3" xfId="4" xr:uid="{BB21E318-56A1-4E1C-8B0B-D94BAE367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8C6D-1A6D-40D6-BEDC-45F6ED5C69F1}">
  <dimension ref="A1:V57"/>
  <sheetViews>
    <sheetView workbookViewId="0">
      <selection activeCell="H6" sqref="H6"/>
    </sheetView>
  </sheetViews>
  <sheetFormatPr defaultRowHeight="14.5" x14ac:dyDescent="0.35"/>
  <cols>
    <col min="1" max="1" width="7.54296875" style="3" bestFit="1" customWidth="1"/>
    <col min="2" max="2" width="7.453125" style="3" bestFit="1" customWidth="1"/>
    <col min="3" max="3" width="8.453125" style="3" bestFit="1" customWidth="1"/>
    <col min="4" max="4" width="13.54296875" style="3" bestFit="1" customWidth="1"/>
    <col min="5" max="5" width="7.90625" style="3" bestFit="1" customWidth="1"/>
    <col min="6" max="6" width="11.81640625" style="3" bestFit="1" customWidth="1"/>
    <col min="7" max="8" width="9.81640625" style="3" bestFit="1" customWidth="1"/>
    <col min="9" max="9" width="9.81640625" style="3" customWidth="1"/>
    <col min="10" max="10" width="15.54296875" style="3" bestFit="1" customWidth="1"/>
    <col min="11" max="11" width="12.90625" style="3" bestFit="1" customWidth="1"/>
    <col min="12" max="12" width="6.36328125" style="3" bestFit="1" customWidth="1"/>
    <col min="14" max="14" width="8.7265625" style="3"/>
    <col min="15" max="15" width="7.54296875" style="3" bestFit="1" customWidth="1"/>
    <col min="16" max="16" width="6.90625" style="3" bestFit="1" customWidth="1"/>
    <col min="17" max="18" width="19.54296875" style="3" bestFit="1" customWidth="1"/>
    <col min="19" max="19" width="17.26953125" style="3" bestFit="1" customWidth="1"/>
    <col min="20" max="20" width="18.81640625" style="3" bestFit="1" customWidth="1"/>
    <col min="21" max="21" width="22.453125" style="3" bestFit="1" customWidth="1"/>
    <col min="22" max="22" width="31.54296875" style="3" bestFit="1" customWidth="1"/>
    <col min="23" max="16384" width="8.7265625" style="3"/>
  </cols>
  <sheetData>
    <row r="1" spans="1:21" x14ac:dyDescent="0.35">
      <c r="A1" s="1" t="s">
        <v>3</v>
      </c>
      <c r="B1" s="1" t="s">
        <v>10</v>
      </c>
      <c r="C1" s="1" t="s">
        <v>39</v>
      </c>
      <c r="D1" s="2" t="s">
        <v>9</v>
      </c>
      <c r="E1" s="2" t="s">
        <v>49</v>
      </c>
      <c r="F1" s="2" t="s">
        <v>50</v>
      </c>
      <c r="G1" s="2" t="s">
        <v>0</v>
      </c>
      <c r="H1" s="2" t="s">
        <v>1</v>
      </c>
      <c r="I1" s="2" t="s">
        <v>45</v>
      </c>
      <c r="J1" s="2" t="s">
        <v>43</v>
      </c>
      <c r="K1" s="2" t="s">
        <v>44</v>
      </c>
      <c r="L1" s="2" t="s">
        <v>2</v>
      </c>
      <c r="N1" s="2"/>
      <c r="O1" s="1" t="s">
        <v>10</v>
      </c>
      <c r="P1" s="2" t="s">
        <v>3</v>
      </c>
      <c r="Q1" s="2" t="s">
        <v>46</v>
      </c>
      <c r="R1" s="2" t="s">
        <v>47</v>
      </c>
      <c r="S1" s="2" t="s">
        <v>48</v>
      </c>
      <c r="T1" s="2" t="s">
        <v>40</v>
      </c>
      <c r="U1" s="2" t="s">
        <v>41</v>
      </c>
    </row>
    <row r="2" spans="1:21" x14ac:dyDescent="0.35">
      <c r="A2" s="4" t="s">
        <v>5</v>
      </c>
      <c r="B2" s="4" t="s">
        <v>11</v>
      </c>
      <c r="C2" s="4">
        <v>1</v>
      </c>
      <c r="D2" s="5">
        <v>43152</v>
      </c>
      <c r="E2" s="3">
        <v>60</v>
      </c>
      <c r="F2" s="3">
        <v>702.36416670000006</v>
      </c>
      <c r="G2" s="3">
        <v>69752.429999999993</v>
      </c>
      <c r="H2" s="3">
        <v>41638.14</v>
      </c>
      <c r="I2" s="3">
        <f>G2-H2</f>
        <v>28114.289999999994</v>
      </c>
      <c r="J2" s="3">
        <v>0.55180399999999996</v>
      </c>
      <c r="K2" s="3">
        <v>1</v>
      </c>
      <c r="O2" s="4" t="s">
        <v>5</v>
      </c>
      <c r="P2" s="4" t="s">
        <v>11</v>
      </c>
      <c r="Q2" s="3">
        <f>I2*J2</f>
        <v>15513.577679159995</v>
      </c>
      <c r="R2" s="3">
        <f>I30*J30</f>
        <v>14607.26168132</v>
      </c>
      <c r="S2" s="3">
        <f>AVERAGE(Q2:R2)</f>
        <v>15060.419680239997</v>
      </c>
      <c r="T2" s="3">
        <v>8425</v>
      </c>
      <c r="U2" s="7">
        <f>S2/T2</f>
        <v>1.7875869056664684</v>
      </c>
    </row>
    <row r="3" spans="1:21" x14ac:dyDescent="0.35">
      <c r="A3" s="4" t="s">
        <v>5</v>
      </c>
      <c r="B3" s="4" t="s">
        <v>12</v>
      </c>
      <c r="C3" s="4">
        <v>1</v>
      </c>
      <c r="D3" s="5">
        <v>43152</v>
      </c>
      <c r="E3" s="3">
        <v>60</v>
      </c>
      <c r="F3" s="3">
        <v>702.36416670000006</v>
      </c>
      <c r="G3" s="3">
        <v>118112</v>
      </c>
      <c r="H3" s="3">
        <v>70578.89</v>
      </c>
      <c r="I3" s="3">
        <f t="shared" ref="I3:I57" si="0">G3-H3</f>
        <v>47533.11</v>
      </c>
      <c r="J3" s="3">
        <v>0.55180399999999996</v>
      </c>
      <c r="K3" s="3">
        <v>1</v>
      </c>
      <c r="O3" s="4" t="s">
        <v>5</v>
      </c>
      <c r="P3" s="4" t="s">
        <v>12</v>
      </c>
      <c r="Q3" s="3">
        <f t="shared" ref="Q3:Q29" si="1">I3*J3</f>
        <v>26228.96023044</v>
      </c>
      <c r="R3" s="3">
        <f t="shared" ref="R3:R29" si="2">I31*J31</f>
        <v>24993.090329679999</v>
      </c>
      <c r="S3" s="3">
        <f t="shared" ref="S3:S29" si="3">AVERAGE(Q3:R3)</f>
        <v>25611.025280059999</v>
      </c>
      <c r="T3" s="3">
        <v>9650</v>
      </c>
      <c r="U3" s="7">
        <f t="shared" ref="U3:U29" si="4">S3/T3</f>
        <v>2.6539922570010361</v>
      </c>
    </row>
    <row r="4" spans="1:21" x14ac:dyDescent="0.35">
      <c r="A4" s="4" t="s">
        <v>5</v>
      </c>
      <c r="B4" s="4" t="s">
        <v>13</v>
      </c>
      <c r="C4" s="4">
        <v>1</v>
      </c>
      <c r="D4" s="5">
        <v>43152</v>
      </c>
      <c r="E4" s="3">
        <v>60</v>
      </c>
      <c r="F4" s="3">
        <v>702.36416670000006</v>
      </c>
      <c r="G4" s="3">
        <v>52753.32</v>
      </c>
      <c r="H4" s="3">
        <v>30903.919999999998</v>
      </c>
      <c r="I4" s="3">
        <f t="shared" si="0"/>
        <v>21849.4</v>
      </c>
      <c r="J4" s="3">
        <v>0.55180399999999996</v>
      </c>
      <c r="K4" s="3">
        <v>1</v>
      </c>
      <c r="O4" s="4" t="s">
        <v>5</v>
      </c>
      <c r="P4" s="4" t="s">
        <v>13</v>
      </c>
      <c r="Q4" s="3">
        <f t="shared" si="1"/>
        <v>12056.5863176</v>
      </c>
      <c r="R4" s="3">
        <f t="shared" si="2"/>
        <v>11508.622873440001</v>
      </c>
      <c r="S4" s="3">
        <f t="shared" si="3"/>
        <v>11782.604595520001</v>
      </c>
      <c r="T4" s="3">
        <v>5525</v>
      </c>
      <c r="U4" s="7">
        <f t="shared" si="4"/>
        <v>2.1325981168361992</v>
      </c>
    </row>
    <row r="5" spans="1:21" x14ac:dyDescent="0.35">
      <c r="A5" s="4" t="s">
        <v>5</v>
      </c>
      <c r="B5" s="4" t="s">
        <v>14</v>
      </c>
      <c r="C5" s="4">
        <v>1</v>
      </c>
      <c r="D5" s="5">
        <v>43152</v>
      </c>
      <c r="E5" s="3">
        <v>60</v>
      </c>
      <c r="F5" s="3">
        <v>702.36416670000006</v>
      </c>
      <c r="G5" s="3">
        <v>91492.37</v>
      </c>
      <c r="H5" s="3">
        <v>54436.800000000003</v>
      </c>
      <c r="I5" s="3">
        <f t="shared" si="0"/>
        <v>37055.569999999992</v>
      </c>
      <c r="J5" s="3">
        <v>0.55180399999999996</v>
      </c>
      <c r="K5" s="3">
        <v>1</v>
      </c>
      <c r="O5" s="4" t="s">
        <v>5</v>
      </c>
      <c r="P5" s="4" t="s">
        <v>14</v>
      </c>
      <c r="Q5" s="3">
        <f t="shared" si="1"/>
        <v>20447.411748279996</v>
      </c>
      <c r="R5" s="3">
        <f t="shared" si="2"/>
        <v>20199.000623559994</v>
      </c>
      <c r="S5" s="3">
        <f t="shared" si="3"/>
        <v>20323.206185919997</v>
      </c>
      <c r="T5" s="3">
        <v>7250</v>
      </c>
      <c r="U5" s="7">
        <f t="shared" si="4"/>
        <v>2.8032008532303445</v>
      </c>
    </row>
    <row r="6" spans="1:21" x14ac:dyDescent="0.35">
      <c r="A6" s="4" t="s">
        <v>6</v>
      </c>
      <c r="B6" s="4" t="s">
        <v>15</v>
      </c>
      <c r="C6" s="4">
        <v>1</v>
      </c>
      <c r="D6" s="5">
        <v>43152</v>
      </c>
      <c r="E6" s="3">
        <v>60</v>
      </c>
      <c r="F6" s="3">
        <v>702.36416670000006</v>
      </c>
      <c r="G6" s="3">
        <v>300642.37</v>
      </c>
      <c r="H6" s="3">
        <v>176448.12</v>
      </c>
      <c r="I6" s="3">
        <f t="shared" si="0"/>
        <v>124194.25</v>
      </c>
      <c r="J6" s="3">
        <v>0.55180399999999996</v>
      </c>
      <c r="K6" s="3">
        <v>1</v>
      </c>
      <c r="O6" s="4" t="s">
        <v>6</v>
      </c>
      <c r="P6" s="4" t="s">
        <v>15</v>
      </c>
      <c r="Q6" s="3">
        <f t="shared" si="1"/>
        <v>68530.883926999988</v>
      </c>
      <c r="R6" s="3">
        <f t="shared" si="2"/>
        <v>69276.845682440005</v>
      </c>
      <c r="S6" s="3">
        <f t="shared" si="3"/>
        <v>68903.864804719997</v>
      </c>
      <c r="T6" s="3">
        <v>20425</v>
      </c>
      <c r="U6" s="7">
        <f t="shared" si="4"/>
        <v>3.3735062327892287</v>
      </c>
    </row>
    <row r="7" spans="1:21" x14ac:dyDescent="0.35">
      <c r="A7" s="4" t="s">
        <v>6</v>
      </c>
      <c r="B7" s="4" t="s">
        <v>16</v>
      </c>
      <c r="C7" s="4">
        <v>1</v>
      </c>
      <c r="D7" s="5">
        <v>43152</v>
      </c>
      <c r="E7" s="3">
        <v>60</v>
      </c>
      <c r="F7" s="3">
        <v>702.36416670000006</v>
      </c>
      <c r="G7" s="3">
        <v>113459</v>
      </c>
      <c r="H7" s="3">
        <v>67612.63</v>
      </c>
      <c r="I7" s="3">
        <f t="shared" si="0"/>
        <v>45846.369999999995</v>
      </c>
      <c r="J7" s="3">
        <v>0.55180399999999996</v>
      </c>
      <c r="K7" s="3">
        <v>1</v>
      </c>
      <c r="O7" s="4" t="s">
        <v>6</v>
      </c>
      <c r="P7" s="4" t="s">
        <v>16</v>
      </c>
      <c r="Q7" s="3">
        <f t="shared" si="1"/>
        <v>25298.210351479996</v>
      </c>
      <c r="R7" s="3">
        <f t="shared" si="2"/>
        <v>28552.005408079993</v>
      </c>
      <c r="S7" s="3">
        <f t="shared" si="3"/>
        <v>26925.107879779993</v>
      </c>
      <c r="T7" s="3">
        <v>11725</v>
      </c>
      <c r="U7" s="7">
        <f t="shared" si="4"/>
        <v>2.2963844673586347</v>
      </c>
    </row>
    <row r="8" spans="1:21" x14ac:dyDescent="0.35">
      <c r="A8" s="4" t="s">
        <v>6</v>
      </c>
      <c r="B8" s="4" t="s">
        <v>17</v>
      </c>
      <c r="C8" s="4">
        <v>1</v>
      </c>
      <c r="D8" s="5">
        <v>43152</v>
      </c>
      <c r="E8" s="3">
        <v>60</v>
      </c>
      <c r="F8" s="3">
        <v>702.36416670000006</v>
      </c>
      <c r="G8" s="3">
        <v>227707.92</v>
      </c>
      <c r="H8" s="3">
        <v>131777.48000000001</v>
      </c>
      <c r="I8" s="3">
        <f t="shared" si="0"/>
        <v>95930.44</v>
      </c>
      <c r="J8" s="3">
        <v>0.55180399999999996</v>
      </c>
      <c r="K8" s="3">
        <v>1</v>
      </c>
      <c r="O8" s="4" t="s">
        <v>6</v>
      </c>
      <c r="P8" s="4" t="s">
        <v>17</v>
      </c>
      <c r="Q8" s="3">
        <f t="shared" si="1"/>
        <v>52934.800513759998</v>
      </c>
      <c r="R8" s="3">
        <f t="shared" si="2"/>
        <v>58374.854054440002</v>
      </c>
      <c r="S8" s="3">
        <f t="shared" si="3"/>
        <v>55654.8272841</v>
      </c>
      <c r="T8" s="3">
        <v>13425</v>
      </c>
      <c r="U8" s="7">
        <f t="shared" si="4"/>
        <v>4.1456109708826814</v>
      </c>
    </row>
    <row r="9" spans="1:21" x14ac:dyDescent="0.35">
      <c r="A9" s="4" t="s">
        <v>6</v>
      </c>
      <c r="B9" s="4" t="s">
        <v>18</v>
      </c>
      <c r="C9" s="4">
        <v>1</v>
      </c>
      <c r="D9" s="5">
        <v>43152</v>
      </c>
      <c r="E9" s="3">
        <v>60</v>
      </c>
      <c r="F9" s="3">
        <v>702.36416670000006</v>
      </c>
      <c r="G9" s="3">
        <v>276340.65000000002</v>
      </c>
      <c r="H9" s="3">
        <v>164422.12</v>
      </c>
      <c r="I9" s="3">
        <f t="shared" si="0"/>
        <v>111918.53000000003</v>
      </c>
      <c r="J9" s="3">
        <v>0.55180399999999996</v>
      </c>
      <c r="K9" s="3">
        <v>1</v>
      </c>
      <c r="O9" s="4" t="s">
        <v>6</v>
      </c>
      <c r="P9" s="4" t="s">
        <v>18</v>
      </c>
      <c r="Q9" s="3">
        <f t="shared" si="1"/>
        <v>61757.092528120011</v>
      </c>
      <c r="R9" s="3">
        <f t="shared" si="2"/>
        <v>63511.260889999998</v>
      </c>
      <c r="S9" s="3">
        <f t="shared" si="3"/>
        <v>62634.176709060004</v>
      </c>
      <c r="T9" s="3">
        <v>15350</v>
      </c>
      <c r="U9" s="7">
        <f t="shared" si="4"/>
        <v>4.0804023914697067</v>
      </c>
    </row>
    <row r="10" spans="1:21" x14ac:dyDescent="0.35">
      <c r="A10" s="4" t="s">
        <v>6</v>
      </c>
      <c r="B10" s="4" t="s">
        <v>19</v>
      </c>
      <c r="C10" s="4">
        <v>1</v>
      </c>
      <c r="D10" s="5">
        <v>43152</v>
      </c>
      <c r="E10" s="3">
        <v>60</v>
      </c>
      <c r="F10" s="3">
        <v>702.36416670000006</v>
      </c>
      <c r="G10" s="3">
        <v>114601.60000000001</v>
      </c>
      <c r="H10" s="3">
        <v>67712.850000000006</v>
      </c>
      <c r="I10" s="3">
        <f t="shared" si="0"/>
        <v>46888.75</v>
      </c>
      <c r="J10" s="3">
        <v>0.55180399999999996</v>
      </c>
      <c r="K10" s="3">
        <v>1</v>
      </c>
      <c r="O10" s="4" t="s">
        <v>6</v>
      </c>
      <c r="P10" s="4" t="s">
        <v>19</v>
      </c>
      <c r="Q10" s="3">
        <f t="shared" si="1"/>
        <v>25873.399804999997</v>
      </c>
      <c r="R10" s="3">
        <f t="shared" si="2"/>
        <v>25200.767283119996</v>
      </c>
      <c r="S10" s="3">
        <f t="shared" si="3"/>
        <v>25537.083544059999</v>
      </c>
      <c r="T10" s="3">
        <v>9925</v>
      </c>
      <c r="U10" s="7">
        <f t="shared" si="4"/>
        <v>2.5730058986458437</v>
      </c>
    </row>
    <row r="11" spans="1:21" x14ac:dyDescent="0.35">
      <c r="A11" s="4" t="s">
        <v>6</v>
      </c>
      <c r="B11" s="4" t="s">
        <v>20</v>
      </c>
      <c r="C11" s="4">
        <v>1</v>
      </c>
      <c r="D11" s="5">
        <v>43152</v>
      </c>
      <c r="E11" s="3">
        <v>60</v>
      </c>
      <c r="F11" s="3">
        <v>702.36416670000006</v>
      </c>
      <c r="G11" s="3">
        <v>137156.25</v>
      </c>
      <c r="H11" s="3">
        <v>82835.69</v>
      </c>
      <c r="I11" s="3">
        <f t="shared" si="0"/>
        <v>54320.56</v>
      </c>
      <c r="J11" s="3">
        <v>0.55180399999999996</v>
      </c>
      <c r="K11" s="3">
        <v>1</v>
      </c>
      <c r="O11" s="4" t="s">
        <v>6</v>
      </c>
      <c r="P11" s="4" t="s">
        <v>20</v>
      </c>
      <c r="Q11" s="3">
        <f t="shared" si="1"/>
        <v>29974.302290239997</v>
      </c>
      <c r="R11" s="3">
        <f t="shared" si="2"/>
        <v>31080.923140080009</v>
      </c>
      <c r="S11" s="3">
        <f t="shared" si="3"/>
        <v>30527.612715160001</v>
      </c>
      <c r="T11" s="3">
        <v>10825</v>
      </c>
      <c r="U11" s="7">
        <f t="shared" si="4"/>
        <v>2.8201027912387993</v>
      </c>
    </row>
    <row r="12" spans="1:21" x14ac:dyDescent="0.35">
      <c r="A12" s="4" t="s">
        <v>6</v>
      </c>
      <c r="B12" s="4" t="s">
        <v>21</v>
      </c>
      <c r="C12" s="4">
        <v>1</v>
      </c>
      <c r="D12" s="5">
        <v>43152</v>
      </c>
      <c r="E12" s="3">
        <v>60</v>
      </c>
      <c r="F12" s="3">
        <v>702.36416670000006</v>
      </c>
      <c r="G12" s="3">
        <v>163944.29</v>
      </c>
      <c r="H12" s="3">
        <v>96791.43</v>
      </c>
      <c r="I12" s="3">
        <f t="shared" si="0"/>
        <v>67152.860000000015</v>
      </c>
      <c r="J12" s="3">
        <v>0.55180399999999996</v>
      </c>
      <c r="K12" s="3">
        <v>1</v>
      </c>
      <c r="O12" s="4" t="s">
        <v>6</v>
      </c>
      <c r="P12" s="4" t="s">
        <v>21</v>
      </c>
      <c r="Q12" s="3">
        <f t="shared" si="1"/>
        <v>37055.216759440009</v>
      </c>
      <c r="R12" s="3">
        <f t="shared" si="2"/>
        <v>36228.194996400001</v>
      </c>
      <c r="S12" s="3">
        <f t="shared" si="3"/>
        <v>36641.705877920002</v>
      </c>
      <c r="T12" s="3">
        <v>14175</v>
      </c>
      <c r="U12" s="7">
        <f t="shared" si="4"/>
        <v>2.5849527956204588</v>
      </c>
    </row>
    <row r="13" spans="1:21" x14ac:dyDescent="0.35">
      <c r="A13" s="4" t="s">
        <v>6</v>
      </c>
      <c r="B13" s="4" t="s">
        <v>22</v>
      </c>
      <c r="C13" s="4">
        <v>1</v>
      </c>
      <c r="D13" s="5">
        <v>43152</v>
      </c>
      <c r="E13" s="3">
        <v>60</v>
      </c>
      <c r="F13" s="3">
        <v>702.36416670000006</v>
      </c>
      <c r="G13" s="3">
        <v>271873.5</v>
      </c>
      <c r="H13" s="3">
        <v>154814.09</v>
      </c>
      <c r="I13" s="3">
        <f t="shared" si="0"/>
        <v>117059.41</v>
      </c>
      <c r="J13" s="3">
        <v>0.55180399999999996</v>
      </c>
      <c r="K13" s="3">
        <v>1</v>
      </c>
      <c r="O13" s="4" t="s">
        <v>6</v>
      </c>
      <c r="P13" s="4" t="s">
        <v>22</v>
      </c>
      <c r="Q13" s="3">
        <f t="shared" si="1"/>
        <v>64593.850675639995</v>
      </c>
      <c r="R13" s="3">
        <f t="shared" si="2"/>
        <v>66369.533875479989</v>
      </c>
      <c r="S13" s="3">
        <f t="shared" si="3"/>
        <v>65481.692275559995</v>
      </c>
      <c r="T13" s="3">
        <v>17250</v>
      </c>
      <c r="U13" s="7">
        <f t="shared" si="4"/>
        <v>3.7960401319165213</v>
      </c>
    </row>
    <row r="14" spans="1:21" x14ac:dyDescent="0.35">
      <c r="A14" s="4" t="s">
        <v>7</v>
      </c>
      <c r="B14" s="4" t="s">
        <v>23</v>
      </c>
      <c r="C14" s="4">
        <v>1</v>
      </c>
      <c r="D14" s="5">
        <v>43152</v>
      </c>
      <c r="E14" s="3">
        <v>60</v>
      </c>
      <c r="F14" s="3">
        <v>702.36416670000006</v>
      </c>
      <c r="G14" s="3">
        <v>64976.18</v>
      </c>
      <c r="H14" s="3">
        <v>38766.57</v>
      </c>
      <c r="I14" s="3">
        <f t="shared" si="0"/>
        <v>26209.61</v>
      </c>
      <c r="J14" s="3">
        <v>0.55180399999999996</v>
      </c>
      <c r="K14" s="3">
        <v>1</v>
      </c>
      <c r="O14" s="4" t="s">
        <v>7</v>
      </c>
      <c r="P14" s="4" t="s">
        <v>23</v>
      </c>
      <c r="Q14" s="3">
        <f t="shared" si="1"/>
        <v>14462.567636439999</v>
      </c>
      <c r="R14" s="3">
        <f t="shared" si="2"/>
        <v>15955.583719239998</v>
      </c>
      <c r="S14" s="3">
        <f t="shared" si="3"/>
        <v>15209.075677839999</v>
      </c>
      <c r="T14" s="3">
        <v>14000</v>
      </c>
      <c r="U14" s="7">
        <f t="shared" si="4"/>
        <v>1.0863625484171429</v>
      </c>
    </row>
    <row r="15" spans="1:21" x14ac:dyDescent="0.35">
      <c r="A15" s="4" t="s">
        <v>7</v>
      </c>
      <c r="B15" s="4" t="s">
        <v>24</v>
      </c>
      <c r="C15" s="4">
        <v>1</v>
      </c>
      <c r="D15" s="5">
        <v>43152</v>
      </c>
      <c r="E15" s="3">
        <v>60</v>
      </c>
      <c r="F15" s="3">
        <v>702.36416670000006</v>
      </c>
      <c r="G15" s="3">
        <v>251434.67</v>
      </c>
      <c r="H15" s="3">
        <v>153161.37</v>
      </c>
      <c r="I15" s="3">
        <f t="shared" si="0"/>
        <v>98273.300000000017</v>
      </c>
      <c r="J15" s="3">
        <v>0.55180399999999996</v>
      </c>
      <c r="K15" s="3">
        <v>2</v>
      </c>
      <c r="L15" s="3" t="s">
        <v>4</v>
      </c>
      <c r="O15" s="4" t="s">
        <v>7</v>
      </c>
      <c r="P15" s="4" t="s">
        <v>24</v>
      </c>
      <c r="Q15" s="3">
        <f t="shared" si="1"/>
        <v>54227.600033200004</v>
      </c>
      <c r="R15" s="3">
        <f t="shared" si="2"/>
        <v>37714.567359040004</v>
      </c>
      <c r="S15" s="3">
        <f t="shared" si="3"/>
        <v>45971.083696120004</v>
      </c>
      <c r="T15" s="3">
        <v>27450</v>
      </c>
      <c r="U15" s="7">
        <f t="shared" si="4"/>
        <v>1.6747207175271404</v>
      </c>
    </row>
    <row r="16" spans="1:21" x14ac:dyDescent="0.35">
      <c r="A16" s="4" t="s">
        <v>7</v>
      </c>
      <c r="B16" s="4" t="s">
        <v>25</v>
      </c>
      <c r="C16" s="4">
        <v>1</v>
      </c>
      <c r="D16" s="5">
        <v>43152</v>
      </c>
      <c r="E16" s="3">
        <v>60</v>
      </c>
      <c r="F16" s="3">
        <v>702.36416670000006</v>
      </c>
      <c r="G16" s="3">
        <v>314375.67999999999</v>
      </c>
      <c r="H16" s="3">
        <v>184221.64</v>
      </c>
      <c r="I16" s="3">
        <f t="shared" si="0"/>
        <v>130154.03999999998</v>
      </c>
      <c r="J16" s="3">
        <v>0.55180399999999996</v>
      </c>
      <c r="K16" s="3">
        <v>1</v>
      </c>
      <c r="O16" s="4" t="s">
        <v>7</v>
      </c>
      <c r="P16" s="4" t="s">
        <v>25</v>
      </c>
      <c r="Q16" s="3">
        <f t="shared" si="1"/>
        <v>71819.519888159979</v>
      </c>
      <c r="R16" s="3">
        <f t="shared" si="2"/>
        <v>65199.096893039998</v>
      </c>
      <c r="S16" s="3">
        <f t="shared" si="3"/>
        <v>68509.308390599996</v>
      </c>
      <c r="T16" s="3">
        <v>27800</v>
      </c>
      <c r="U16" s="7">
        <f t="shared" si="4"/>
        <v>2.4643636111726619</v>
      </c>
    </row>
    <row r="17" spans="1:22" x14ac:dyDescent="0.35">
      <c r="A17" s="4" t="s">
        <v>7</v>
      </c>
      <c r="B17" s="4" t="s">
        <v>26</v>
      </c>
      <c r="C17" s="4">
        <v>1</v>
      </c>
      <c r="D17" s="5">
        <v>43152</v>
      </c>
      <c r="E17" s="3">
        <v>60</v>
      </c>
      <c r="F17" s="3">
        <v>702.36416670000006</v>
      </c>
      <c r="G17" s="3">
        <v>303480.87</v>
      </c>
      <c r="H17" s="3">
        <v>177120.06</v>
      </c>
      <c r="I17" s="3">
        <f t="shared" si="0"/>
        <v>126360.81</v>
      </c>
      <c r="J17" s="3">
        <v>0.55180399999999996</v>
      </c>
      <c r="K17" s="3">
        <v>1</v>
      </c>
      <c r="O17" s="4" t="s">
        <v>7</v>
      </c>
      <c r="P17" s="4" t="s">
        <v>26</v>
      </c>
      <c r="Q17" s="3">
        <f t="shared" si="1"/>
        <v>69726.400401239996</v>
      </c>
      <c r="R17" s="3">
        <f t="shared" si="2"/>
        <v>67749.363921800003</v>
      </c>
      <c r="S17" s="3">
        <f t="shared" si="3"/>
        <v>68737.882161519999</v>
      </c>
      <c r="T17" s="3">
        <v>26500</v>
      </c>
      <c r="U17" s="7">
        <f t="shared" si="4"/>
        <v>2.593882345717736</v>
      </c>
    </row>
    <row r="18" spans="1:22" x14ac:dyDescent="0.35">
      <c r="A18" s="4" t="s">
        <v>7</v>
      </c>
      <c r="B18" s="4" t="s">
        <v>27</v>
      </c>
      <c r="C18" s="4">
        <v>1</v>
      </c>
      <c r="D18" s="5">
        <v>43152</v>
      </c>
      <c r="E18" s="3">
        <v>60</v>
      </c>
      <c r="F18" s="3">
        <v>702.36416670000006</v>
      </c>
      <c r="G18" s="3">
        <v>207721.23</v>
      </c>
      <c r="H18" s="3">
        <v>125120.06</v>
      </c>
      <c r="I18" s="3">
        <f t="shared" si="0"/>
        <v>82601.170000000013</v>
      </c>
      <c r="J18" s="3">
        <v>0.55180399999999996</v>
      </c>
      <c r="K18" s="3">
        <v>1</v>
      </c>
      <c r="O18" s="4" t="s">
        <v>7</v>
      </c>
      <c r="P18" s="4" t="s">
        <v>27</v>
      </c>
      <c r="Q18" s="3">
        <f t="shared" si="1"/>
        <v>45579.656010680003</v>
      </c>
      <c r="R18" s="3">
        <f t="shared" si="2"/>
        <v>47158.974239080002</v>
      </c>
      <c r="S18" s="3">
        <f t="shared" si="3"/>
        <v>46369.315124879999</v>
      </c>
      <c r="T18" s="3">
        <v>26900</v>
      </c>
      <c r="U18" s="7">
        <f t="shared" si="4"/>
        <v>1.7237663615197025</v>
      </c>
    </row>
    <row r="19" spans="1:22" x14ac:dyDescent="0.35">
      <c r="A19" s="4" t="s">
        <v>7</v>
      </c>
      <c r="B19" s="4" t="s">
        <v>28</v>
      </c>
      <c r="C19" s="4">
        <v>1</v>
      </c>
      <c r="D19" s="5">
        <v>43152</v>
      </c>
      <c r="E19" s="3">
        <v>60</v>
      </c>
      <c r="F19" s="3">
        <v>702.36416670000006</v>
      </c>
      <c r="G19" s="3">
        <v>241673.14</v>
      </c>
      <c r="H19" s="3">
        <v>147228.85</v>
      </c>
      <c r="I19" s="3">
        <f t="shared" si="0"/>
        <v>94444.290000000008</v>
      </c>
      <c r="J19" s="3">
        <v>0.55180399999999996</v>
      </c>
      <c r="K19" s="3">
        <v>1</v>
      </c>
      <c r="O19" s="4" t="s">
        <v>7</v>
      </c>
      <c r="P19" s="4" t="s">
        <v>28</v>
      </c>
      <c r="Q19" s="3">
        <f t="shared" si="1"/>
        <v>52114.736999159999</v>
      </c>
      <c r="R19" s="3">
        <f t="shared" si="2"/>
        <v>50079.612112639996</v>
      </c>
      <c r="S19" s="3">
        <f t="shared" si="3"/>
        <v>51097.174555899997</v>
      </c>
      <c r="T19" s="3">
        <v>14550</v>
      </c>
      <c r="U19" s="7">
        <f t="shared" si="4"/>
        <v>3.5118333028109965</v>
      </c>
    </row>
    <row r="20" spans="1:22" x14ac:dyDescent="0.35">
      <c r="A20" s="4" t="s">
        <v>7</v>
      </c>
      <c r="B20" s="4" t="s">
        <v>29</v>
      </c>
      <c r="C20" s="4">
        <v>1</v>
      </c>
      <c r="D20" s="5">
        <v>43152</v>
      </c>
      <c r="E20" s="3">
        <v>60</v>
      </c>
      <c r="F20" s="3">
        <v>702.36416670000006</v>
      </c>
      <c r="G20" s="3">
        <v>284824.25</v>
      </c>
      <c r="H20" s="3">
        <v>170391.03</v>
      </c>
      <c r="I20" s="3">
        <f t="shared" si="0"/>
        <v>114433.22</v>
      </c>
      <c r="J20" s="3">
        <v>0.55180399999999996</v>
      </c>
      <c r="K20" s="3">
        <v>2</v>
      </c>
      <c r="L20" s="3" t="s">
        <v>4</v>
      </c>
      <c r="O20" s="4" t="s">
        <v>7</v>
      </c>
      <c r="P20" s="4" t="s">
        <v>29</v>
      </c>
      <c r="Q20" s="3">
        <f t="shared" si="1"/>
        <v>63144.708528879994</v>
      </c>
      <c r="R20" s="3">
        <f t="shared" si="2"/>
        <v>59351.359521080005</v>
      </c>
      <c r="S20" s="3">
        <f t="shared" si="3"/>
        <v>61248.034024979999</v>
      </c>
      <c r="T20" s="3">
        <v>39500</v>
      </c>
      <c r="U20" s="7">
        <f t="shared" si="4"/>
        <v>1.5505831398729113</v>
      </c>
    </row>
    <row r="21" spans="1:22" x14ac:dyDescent="0.35">
      <c r="A21" s="4" t="s">
        <v>7</v>
      </c>
      <c r="B21" s="4" t="s">
        <v>30</v>
      </c>
      <c r="C21" s="4">
        <v>1</v>
      </c>
      <c r="D21" s="5">
        <v>43152</v>
      </c>
      <c r="E21" s="3">
        <v>60</v>
      </c>
      <c r="F21" s="3">
        <v>702.36416670000006</v>
      </c>
      <c r="G21" s="3">
        <v>233088.31</v>
      </c>
      <c r="H21" s="3">
        <v>141147.04</v>
      </c>
      <c r="I21" s="3">
        <f t="shared" si="0"/>
        <v>91941.26999999999</v>
      </c>
      <c r="J21" s="3">
        <v>0.55180399999999996</v>
      </c>
      <c r="K21" s="3">
        <v>1</v>
      </c>
      <c r="O21" s="4" t="s">
        <v>7</v>
      </c>
      <c r="P21" s="4" t="s">
        <v>30</v>
      </c>
      <c r="Q21" s="3">
        <f t="shared" si="1"/>
        <v>50733.560551079994</v>
      </c>
      <c r="R21" s="3">
        <f t="shared" si="2"/>
        <v>61355.931020120013</v>
      </c>
      <c r="S21" s="3">
        <f t="shared" si="3"/>
        <v>56044.745785600004</v>
      </c>
      <c r="T21" s="3">
        <v>38550</v>
      </c>
      <c r="U21" s="7">
        <f t="shared" si="4"/>
        <v>1.4538196053333334</v>
      </c>
    </row>
    <row r="22" spans="1:22" x14ac:dyDescent="0.35">
      <c r="A22" s="4" t="s">
        <v>8</v>
      </c>
      <c r="B22" s="4" t="s">
        <v>31</v>
      </c>
      <c r="C22" s="4">
        <v>1</v>
      </c>
      <c r="D22" s="5">
        <v>43152</v>
      </c>
      <c r="E22" s="3">
        <v>60</v>
      </c>
      <c r="F22" s="3">
        <v>702.36416670000006</v>
      </c>
      <c r="G22" s="3">
        <v>81699.69</v>
      </c>
      <c r="H22" s="3">
        <v>50313.85</v>
      </c>
      <c r="I22" s="3">
        <f t="shared" si="0"/>
        <v>31385.840000000004</v>
      </c>
      <c r="J22" s="3">
        <v>0.55180399999999996</v>
      </c>
      <c r="K22" s="3">
        <v>1</v>
      </c>
      <c r="O22" s="4" t="s">
        <v>8</v>
      </c>
      <c r="P22" s="4" t="s">
        <v>31</v>
      </c>
      <c r="Q22" s="3">
        <f t="shared" si="1"/>
        <v>17318.832055360002</v>
      </c>
      <c r="R22" s="3">
        <f t="shared" si="2"/>
        <v>16448.598521079995</v>
      </c>
      <c r="S22" s="3">
        <f t="shared" si="3"/>
        <v>16883.715288219999</v>
      </c>
      <c r="T22" s="3">
        <v>2850</v>
      </c>
      <c r="U22" s="7">
        <f t="shared" si="4"/>
        <v>5.9241106274456135</v>
      </c>
    </row>
    <row r="23" spans="1:22" x14ac:dyDescent="0.35">
      <c r="A23" s="4" t="s">
        <v>8</v>
      </c>
      <c r="B23" s="4" t="s">
        <v>32</v>
      </c>
      <c r="C23" s="4">
        <v>1</v>
      </c>
      <c r="D23" s="5">
        <v>43152</v>
      </c>
      <c r="E23" s="3">
        <v>60</v>
      </c>
      <c r="F23" s="3">
        <v>702.36416670000006</v>
      </c>
      <c r="G23" s="3">
        <v>213565.92</v>
      </c>
      <c r="H23" s="3">
        <v>125969.36</v>
      </c>
      <c r="I23" s="3">
        <f t="shared" si="0"/>
        <v>87596.560000000012</v>
      </c>
      <c r="J23" s="3">
        <v>0.55180399999999996</v>
      </c>
      <c r="K23" s="3">
        <v>1</v>
      </c>
      <c r="O23" s="4" t="s">
        <v>8</v>
      </c>
      <c r="P23" s="4" t="s">
        <v>32</v>
      </c>
      <c r="Q23" s="3">
        <f t="shared" si="1"/>
        <v>48336.132194240003</v>
      </c>
      <c r="R23" s="3">
        <f t="shared" si="2"/>
        <v>42955.552088679993</v>
      </c>
      <c r="S23" s="3">
        <f t="shared" si="3"/>
        <v>45645.842141460002</v>
      </c>
      <c r="T23" s="3">
        <v>5975</v>
      </c>
      <c r="U23" s="7">
        <f t="shared" si="4"/>
        <v>7.6394714881104608</v>
      </c>
    </row>
    <row r="24" spans="1:22" x14ac:dyDescent="0.35">
      <c r="A24" s="4" t="s">
        <v>8</v>
      </c>
      <c r="B24" s="4" t="s">
        <v>33</v>
      </c>
      <c r="C24" s="4">
        <v>1</v>
      </c>
      <c r="D24" s="5">
        <v>43152</v>
      </c>
      <c r="E24" s="3">
        <v>60</v>
      </c>
      <c r="F24" s="3">
        <v>702.36416670000006</v>
      </c>
      <c r="G24" s="3">
        <v>226235.18</v>
      </c>
      <c r="H24" s="3">
        <v>131101.62</v>
      </c>
      <c r="I24" s="3">
        <f t="shared" si="0"/>
        <v>95133.56</v>
      </c>
      <c r="J24" s="3">
        <v>0.55180399999999996</v>
      </c>
      <c r="K24" s="3">
        <v>1</v>
      </c>
      <c r="O24" s="4" t="s">
        <v>8</v>
      </c>
      <c r="P24" s="4" t="s">
        <v>33</v>
      </c>
      <c r="Q24" s="3">
        <f t="shared" si="1"/>
        <v>52495.078942239998</v>
      </c>
      <c r="R24" s="3">
        <f t="shared" si="2"/>
        <v>52544.17294412</v>
      </c>
      <c r="S24" s="3">
        <f t="shared" si="3"/>
        <v>52519.625943179999</v>
      </c>
      <c r="T24" s="3">
        <v>7325</v>
      </c>
      <c r="U24" s="7">
        <f t="shared" si="4"/>
        <v>7.169914804529693</v>
      </c>
    </row>
    <row r="25" spans="1:22" x14ac:dyDescent="0.35">
      <c r="A25" s="4" t="s">
        <v>8</v>
      </c>
      <c r="B25" s="4" t="s">
        <v>34</v>
      </c>
      <c r="C25" s="4">
        <v>1</v>
      </c>
      <c r="D25" s="5">
        <v>43152</v>
      </c>
      <c r="E25" s="3">
        <v>60</v>
      </c>
      <c r="F25" s="3">
        <v>702.36416670000006</v>
      </c>
      <c r="G25" s="3">
        <v>92534.27</v>
      </c>
      <c r="H25" s="3">
        <v>55320.800000000003</v>
      </c>
      <c r="I25" s="3">
        <f t="shared" si="0"/>
        <v>37213.47</v>
      </c>
      <c r="J25" s="3">
        <v>0.55180399999999996</v>
      </c>
      <c r="K25" s="3">
        <v>1</v>
      </c>
      <c r="O25" s="4" t="s">
        <v>8</v>
      </c>
      <c r="P25" s="4" t="s">
        <v>34</v>
      </c>
      <c r="Q25" s="3">
        <f t="shared" si="1"/>
        <v>20534.541599879998</v>
      </c>
      <c r="R25" s="3">
        <f t="shared" si="2"/>
        <v>19954.750100999998</v>
      </c>
      <c r="S25" s="3">
        <f t="shared" si="3"/>
        <v>20244.64585044</v>
      </c>
      <c r="T25" s="3">
        <v>3100</v>
      </c>
      <c r="U25" s="7">
        <f t="shared" si="4"/>
        <v>6.5305309194967744</v>
      </c>
    </row>
    <row r="26" spans="1:22" x14ac:dyDescent="0.35">
      <c r="A26" s="4" t="s">
        <v>8</v>
      </c>
      <c r="B26" s="4" t="s">
        <v>35</v>
      </c>
      <c r="C26" s="4">
        <v>1</v>
      </c>
      <c r="D26" s="5">
        <v>43152</v>
      </c>
      <c r="E26" s="3">
        <v>60</v>
      </c>
      <c r="F26" s="3">
        <v>702.36416670000006</v>
      </c>
      <c r="G26" s="3">
        <v>381682.5</v>
      </c>
      <c r="H26" s="3">
        <v>223800.59</v>
      </c>
      <c r="I26" s="3">
        <f t="shared" si="0"/>
        <v>157881.91</v>
      </c>
      <c r="J26" s="3">
        <v>0.55180399999999996</v>
      </c>
      <c r="K26" s="3">
        <v>1</v>
      </c>
      <c r="O26" s="4" t="s">
        <v>8</v>
      </c>
      <c r="P26" s="4" t="s">
        <v>35</v>
      </c>
      <c r="Q26" s="3">
        <f t="shared" si="1"/>
        <v>87119.869465639989</v>
      </c>
      <c r="R26" s="3">
        <f t="shared" si="2"/>
        <v>81631.764832639994</v>
      </c>
      <c r="S26" s="3">
        <f t="shared" si="3"/>
        <v>84375.817149139999</v>
      </c>
      <c r="T26" s="3">
        <v>4800</v>
      </c>
      <c r="U26" s="9">
        <f t="shared" si="4"/>
        <v>17.578295239404166</v>
      </c>
      <c r="V26" s="10" t="s">
        <v>42</v>
      </c>
    </row>
    <row r="27" spans="1:22" x14ac:dyDescent="0.35">
      <c r="A27" s="4" t="s">
        <v>8</v>
      </c>
      <c r="B27" s="4" t="s">
        <v>36</v>
      </c>
      <c r="C27" s="4">
        <v>1</v>
      </c>
      <c r="D27" s="5">
        <v>43152</v>
      </c>
      <c r="E27" s="3">
        <v>60</v>
      </c>
      <c r="F27" s="3">
        <v>702.36416670000006</v>
      </c>
      <c r="G27" s="3">
        <v>168817.54</v>
      </c>
      <c r="H27" s="3">
        <v>96735.679999999993</v>
      </c>
      <c r="I27" s="3">
        <f t="shared" si="0"/>
        <v>72081.860000000015</v>
      </c>
      <c r="J27" s="3">
        <v>0.55180399999999996</v>
      </c>
      <c r="K27" s="3">
        <v>1</v>
      </c>
      <c r="O27" s="4" t="s">
        <v>8</v>
      </c>
      <c r="P27" s="4" t="s">
        <v>36</v>
      </c>
      <c r="Q27" s="3">
        <f t="shared" si="1"/>
        <v>39775.058675440006</v>
      </c>
      <c r="R27" s="3">
        <f t="shared" si="2"/>
        <v>39643.188555519999</v>
      </c>
      <c r="S27" s="3">
        <f t="shared" si="3"/>
        <v>39709.123615479999</v>
      </c>
      <c r="T27" s="3">
        <v>10925</v>
      </c>
      <c r="U27" s="7">
        <f t="shared" si="4"/>
        <v>3.6347023904329521</v>
      </c>
    </row>
    <row r="28" spans="1:22" x14ac:dyDescent="0.35">
      <c r="A28" s="4" t="s">
        <v>8</v>
      </c>
      <c r="B28" s="4" t="s">
        <v>37</v>
      </c>
      <c r="C28" s="4">
        <v>1</v>
      </c>
      <c r="D28" s="5">
        <v>43152</v>
      </c>
      <c r="E28" s="3">
        <v>60</v>
      </c>
      <c r="F28" s="3">
        <v>702.36416670000006</v>
      </c>
      <c r="G28" s="3">
        <v>173892.81</v>
      </c>
      <c r="H28" s="3">
        <v>103258.32</v>
      </c>
      <c r="I28" s="3">
        <f t="shared" si="0"/>
        <v>70634.489999999991</v>
      </c>
      <c r="J28" s="3">
        <v>0.55180399999999996</v>
      </c>
      <c r="K28" s="3">
        <v>1</v>
      </c>
      <c r="O28" s="4" t="s">
        <v>8</v>
      </c>
      <c r="P28" s="4" t="s">
        <v>37</v>
      </c>
      <c r="Q28" s="3">
        <f t="shared" si="1"/>
        <v>38976.394119959994</v>
      </c>
      <c r="R28" s="3">
        <f t="shared" si="2"/>
        <v>40674.410906799996</v>
      </c>
      <c r="S28" s="3">
        <f t="shared" si="3"/>
        <v>39825.402513379995</v>
      </c>
      <c r="T28" s="3">
        <v>13100</v>
      </c>
      <c r="U28" s="7">
        <f t="shared" si="4"/>
        <v>3.0401070620900761</v>
      </c>
    </row>
    <row r="29" spans="1:22" x14ac:dyDescent="0.35">
      <c r="A29" s="4" t="s">
        <v>8</v>
      </c>
      <c r="B29" s="4" t="s">
        <v>38</v>
      </c>
      <c r="C29" s="4">
        <v>1</v>
      </c>
      <c r="D29" s="5">
        <v>43152</v>
      </c>
      <c r="E29" s="3">
        <v>60</v>
      </c>
      <c r="F29" s="3">
        <v>702.36416670000006</v>
      </c>
      <c r="G29" s="3">
        <v>194176.79</v>
      </c>
      <c r="H29" s="3">
        <v>116800.12</v>
      </c>
      <c r="I29" s="3">
        <f t="shared" si="0"/>
        <v>77376.670000000013</v>
      </c>
      <c r="J29" s="3">
        <v>0.55180399999999996</v>
      </c>
      <c r="K29" s="3">
        <v>1</v>
      </c>
      <c r="O29" s="4" t="s">
        <v>8</v>
      </c>
      <c r="P29" s="4" t="s">
        <v>38</v>
      </c>
      <c r="Q29" s="3">
        <f t="shared" si="1"/>
        <v>42696.756012680002</v>
      </c>
      <c r="R29" s="3">
        <f t="shared" si="2"/>
        <v>48492.292726240004</v>
      </c>
      <c r="S29" s="3">
        <f t="shared" si="3"/>
        <v>45594.524369460007</v>
      </c>
      <c r="T29" s="3">
        <v>6575</v>
      </c>
      <c r="U29" s="7">
        <f t="shared" si="4"/>
        <v>6.9345284212106471</v>
      </c>
    </row>
    <row r="30" spans="1:22" x14ac:dyDescent="0.35">
      <c r="A30" s="4" t="s">
        <v>5</v>
      </c>
      <c r="B30" s="4" t="s">
        <v>11</v>
      </c>
      <c r="C30" s="4">
        <v>2</v>
      </c>
      <c r="D30" s="5">
        <v>43152</v>
      </c>
      <c r="E30" s="3">
        <v>60</v>
      </c>
      <c r="F30" s="3">
        <v>702.36416670000006</v>
      </c>
      <c r="G30" s="3">
        <v>64579.65</v>
      </c>
      <c r="H30" s="3">
        <v>38107.82</v>
      </c>
      <c r="I30" s="3">
        <f t="shared" si="0"/>
        <v>26471.83</v>
      </c>
      <c r="J30" s="3">
        <v>0.55180399999999996</v>
      </c>
      <c r="K30" s="3">
        <v>1</v>
      </c>
      <c r="U30" s="6"/>
    </row>
    <row r="31" spans="1:22" x14ac:dyDescent="0.35">
      <c r="A31" s="4" t="s">
        <v>5</v>
      </c>
      <c r="B31" s="4" t="s">
        <v>12</v>
      </c>
      <c r="C31" s="4">
        <v>2</v>
      </c>
      <c r="D31" s="5">
        <v>43152</v>
      </c>
      <c r="E31" s="3">
        <v>60</v>
      </c>
      <c r="F31" s="3">
        <v>702.36416670000006</v>
      </c>
      <c r="G31" s="3">
        <v>113724.44</v>
      </c>
      <c r="H31" s="3">
        <v>68431.02</v>
      </c>
      <c r="I31" s="3">
        <f t="shared" si="0"/>
        <v>45293.42</v>
      </c>
      <c r="J31" s="3">
        <v>0.55180399999999996</v>
      </c>
      <c r="K31" s="3">
        <v>1</v>
      </c>
    </row>
    <row r="32" spans="1:22" x14ac:dyDescent="0.35">
      <c r="A32" s="4" t="s">
        <v>5</v>
      </c>
      <c r="B32" s="4" t="s">
        <v>13</v>
      </c>
      <c r="C32" s="4">
        <v>2</v>
      </c>
      <c r="D32" s="5">
        <v>43152</v>
      </c>
      <c r="E32" s="3">
        <v>60</v>
      </c>
      <c r="F32" s="3">
        <v>702.36416670000006</v>
      </c>
      <c r="G32" s="3">
        <v>51210.37</v>
      </c>
      <c r="H32" s="3">
        <v>30354.01</v>
      </c>
      <c r="I32" s="3">
        <f t="shared" si="0"/>
        <v>20856.360000000004</v>
      </c>
      <c r="J32" s="3">
        <v>0.55180399999999996</v>
      </c>
      <c r="K32" s="3">
        <v>1</v>
      </c>
    </row>
    <row r="33" spans="1:16" x14ac:dyDescent="0.35">
      <c r="A33" s="4" t="s">
        <v>5</v>
      </c>
      <c r="B33" s="4" t="s">
        <v>14</v>
      </c>
      <c r="C33" s="4">
        <v>2</v>
      </c>
      <c r="D33" s="5">
        <v>43152</v>
      </c>
      <c r="E33" s="3">
        <v>60</v>
      </c>
      <c r="F33" s="3">
        <v>702.36416670000006</v>
      </c>
      <c r="G33" s="3">
        <v>91473.12</v>
      </c>
      <c r="H33" s="3">
        <v>54867.73</v>
      </c>
      <c r="I33" s="3">
        <f t="shared" si="0"/>
        <v>36605.389999999992</v>
      </c>
      <c r="J33" s="3">
        <v>0.55180399999999996</v>
      </c>
      <c r="K33" s="3">
        <v>1</v>
      </c>
    </row>
    <row r="34" spans="1:16" x14ac:dyDescent="0.35">
      <c r="A34" s="4" t="s">
        <v>6</v>
      </c>
      <c r="B34" s="4" t="s">
        <v>15</v>
      </c>
      <c r="C34" s="4">
        <v>2</v>
      </c>
      <c r="D34" s="5">
        <v>43152</v>
      </c>
      <c r="E34" s="3">
        <v>60</v>
      </c>
      <c r="F34" s="3">
        <v>702.36416670000006</v>
      </c>
      <c r="G34" s="3">
        <v>296640.53000000003</v>
      </c>
      <c r="H34" s="3">
        <v>171094.42</v>
      </c>
      <c r="I34" s="3">
        <f t="shared" si="0"/>
        <v>125546.11000000002</v>
      </c>
      <c r="J34" s="3">
        <v>0.55180399999999996</v>
      </c>
      <c r="K34" s="3">
        <v>1</v>
      </c>
      <c r="P34" s="7"/>
    </row>
    <row r="35" spans="1:16" x14ac:dyDescent="0.35">
      <c r="A35" s="4" t="s">
        <v>6</v>
      </c>
      <c r="B35" s="4" t="s">
        <v>16</v>
      </c>
      <c r="C35" s="4">
        <v>2</v>
      </c>
      <c r="D35" s="5">
        <v>43152</v>
      </c>
      <c r="E35" s="3">
        <v>60</v>
      </c>
      <c r="F35" s="3">
        <v>702.36416670000006</v>
      </c>
      <c r="G35" s="3">
        <v>128446.39999999999</v>
      </c>
      <c r="H35" s="3">
        <v>76703.38</v>
      </c>
      <c r="I35" s="3">
        <f t="shared" si="0"/>
        <v>51743.01999999999</v>
      </c>
      <c r="J35" s="3">
        <v>0.55180399999999996</v>
      </c>
      <c r="K35" s="3">
        <v>1</v>
      </c>
      <c r="P35" s="7"/>
    </row>
    <row r="36" spans="1:16" x14ac:dyDescent="0.35">
      <c r="A36" s="4" t="s">
        <v>6</v>
      </c>
      <c r="B36" s="4" t="s">
        <v>17</v>
      </c>
      <c r="C36" s="4">
        <v>2</v>
      </c>
      <c r="D36" s="5">
        <v>43152</v>
      </c>
      <c r="E36" s="3">
        <v>60</v>
      </c>
      <c r="F36" s="3">
        <v>702.36416670000006</v>
      </c>
      <c r="G36" s="3">
        <v>247089.73</v>
      </c>
      <c r="H36" s="3">
        <v>141300.62</v>
      </c>
      <c r="I36" s="3">
        <f t="shared" si="0"/>
        <v>105789.11000000002</v>
      </c>
      <c r="J36" s="3">
        <v>0.55180399999999996</v>
      </c>
      <c r="K36" s="3">
        <v>1</v>
      </c>
      <c r="P36" s="7"/>
    </row>
    <row r="37" spans="1:16" x14ac:dyDescent="0.35">
      <c r="A37" s="4" t="s">
        <v>6</v>
      </c>
      <c r="B37" s="4" t="s">
        <v>18</v>
      </c>
      <c r="C37" s="4">
        <v>2</v>
      </c>
      <c r="D37" s="5">
        <v>43152</v>
      </c>
      <c r="E37" s="3">
        <v>60</v>
      </c>
      <c r="F37" s="3">
        <v>702.36416670000006</v>
      </c>
      <c r="G37" s="3">
        <v>277437.12</v>
      </c>
      <c r="H37" s="3">
        <v>162339.62</v>
      </c>
      <c r="I37" s="3">
        <f t="shared" si="0"/>
        <v>115097.5</v>
      </c>
      <c r="J37" s="3">
        <v>0.55180399999999996</v>
      </c>
      <c r="K37" s="3">
        <v>1</v>
      </c>
      <c r="P37" s="8"/>
    </row>
    <row r="38" spans="1:16" x14ac:dyDescent="0.35">
      <c r="A38" s="4" t="s">
        <v>6</v>
      </c>
      <c r="B38" s="4" t="s">
        <v>19</v>
      </c>
      <c r="C38" s="4">
        <v>2</v>
      </c>
      <c r="D38" s="5">
        <v>43152</v>
      </c>
      <c r="E38" s="3">
        <v>60</v>
      </c>
      <c r="F38" s="3">
        <v>702.36416670000006</v>
      </c>
      <c r="G38" s="3">
        <v>112176.2</v>
      </c>
      <c r="H38" s="3">
        <v>66506.42</v>
      </c>
      <c r="I38" s="3">
        <f t="shared" si="0"/>
        <v>45669.78</v>
      </c>
      <c r="J38" s="3">
        <v>0.55180399999999996</v>
      </c>
      <c r="K38" s="3">
        <v>1</v>
      </c>
    </row>
    <row r="39" spans="1:16" x14ac:dyDescent="0.35">
      <c r="A39" s="4" t="s">
        <v>6</v>
      </c>
      <c r="B39" s="4" t="s">
        <v>20</v>
      </c>
      <c r="C39" s="4">
        <v>2</v>
      </c>
      <c r="D39" s="5">
        <v>43152</v>
      </c>
      <c r="E39" s="3">
        <v>60</v>
      </c>
      <c r="F39" s="3">
        <v>702.36416670000006</v>
      </c>
      <c r="G39" s="3">
        <v>140641.14000000001</v>
      </c>
      <c r="H39" s="3">
        <v>84315.12</v>
      </c>
      <c r="I39" s="3">
        <f t="shared" si="0"/>
        <v>56326.020000000019</v>
      </c>
      <c r="J39" s="3">
        <v>0.55180399999999996</v>
      </c>
      <c r="K39" s="3">
        <v>1</v>
      </c>
    </row>
    <row r="40" spans="1:16" x14ac:dyDescent="0.35">
      <c r="A40" s="4" t="s">
        <v>6</v>
      </c>
      <c r="B40" s="4" t="s">
        <v>21</v>
      </c>
      <c r="C40" s="4">
        <v>2</v>
      </c>
      <c r="D40" s="5">
        <v>43152</v>
      </c>
      <c r="E40" s="3">
        <v>60</v>
      </c>
      <c r="F40" s="3">
        <v>702.36416670000006</v>
      </c>
      <c r="G40" s="3">
        <v>160868</v>
      </c>
      <c r="H40" s="3">
        <v>95213.9</v>
      </c>
      <c r="I40" s="3">
        <f t="shared" si="0"/>
        <v>65654.100000000006</v>
      </c>
      <c r="J40" s="3">
        <v>0.55180399999999996</v>
      </c>
      <c r="K40" s="3">
        <v>1</v>
      </c>
    </row>
    <row r="41" spans="1:16" x14ac:dyDescent="0.35">
      <c r="A41" s="4" t="s">
        <v>6</v>
      </c>
      <c r="B41" s="4" t="s">
        <v>22</v>
      </c>
      <c r="C41" s="4">
        <v>2</v>
      </c>
      <c r="D41" s="5">
        <v>43152</v>
      </c>
      <c r="E41" s="3">
        <v>60</v>
      </c>
      <c r="F41" s="3">
        <v>702.36416670000006</v>
      </c>
      <c r="G41" s="3">
        <v>289970.37</v>
      </c>
      <c r="H41" s="3">
        <v>169693</v>
      </c>
      <c r="I41" s="3">
        <f t="shared" si="0"/>
        <v>120277.37</v>
      </c>
      <c r="J41" s="3">
        <v>0.55180399999999996</v>
      </c>
      <c r="K41" s="3">
        <v>1</v>
      </c>
    </row>
    <row r="42" spans="1:16" x14ac:dyDescent="0.35">
      <c r="A42" s="4" t="s">
        <v>7</v>
      </c>
      <c r="B42" s="4" t="s">
        <v>23</v>
      </c>
      <c r="C42" s="4">
        <v>2</v>
      </c>
      <c r="D42" s="5">
        <v>43152</v>
      </c>
      <c r="E42" s="3">
        <v>60</v>
      </c>
      <c r="F42" s="3">
        <v>702.36416670000006</v>
      </c>
      <c r="G42" s="3">
        <v>72189.649999999994</v>
      </c>
      <c r="H42" s="3">
        <v>43274.34</v>
      </c>
      <c r="I42" s="3">
        <f t="shared" si="0"/>
        <v>28915.309999999998</v>
      </c>
      <c r="J42" s="3">
        <v>0.55180399999999996</v>
      </c>
      <c r="K42" s="3">
        <v>1</v>
      </c>
    </row>
    <row r="43" spans="1:16" x14ac:dyDescent="0.35">
      <c r="A43" s="4" t="s">
        <v>7</v>
      </c>
      <c r="B43" s="4" t="s">
        <v>24</v>
      </c>
      <c r="C43" s="4">
        <v>2</v>
      </c>
      <c r="D43" s="5">
        <v>43152</v>
      </c>
      <c r="E43" s="3">
        <v>60</v>
      </c>
      <c r="F43" s="3">
        <v>702.36416670000006</v>
      </c>
      <c r="G43" s="3">
        <v>173798.51</v>
      </c>
      <c r="H43" s="3">
        <v>105450.75</v>
      </c>
      <c r="I43" s="3">
        <f t="shared" si="0"/>
        <v>68347.760000000009</v>
      </c>
      <c r="J43" s="3">
        <v>0.55180399999999996</v>
      </c>
      <c r="K43" s="3">
        <v>2</v>
      </c>
      <c r="L43" s="3" t="s">
        <v>4</v>
      </c>
    </row>
    <row r="44" spans="1:16" x14ac:dyDescent="0.35">
      <c r="A44" s="4" t="s">
        <v>7</v>
      </c>
      <c r="B44" s="4" t="s">
        <v>25</v>
      </c>
      <c r="C44" s="4">
        <v>2</v>
      </c>
      <c r="D44" s="5">
        <v>43152</v>
      </c>
      <c r="E44" s="3">
        <v>60</v>
      </c>
      <c r="F44" s="3">
        <v>702.36416670000006</v>
      </c>
      <c r="G44" s="3">
        <v>283147.40000000002</v>
      </c>
      <c r="H44" s="3">
        <v>164991.14000000001</v>
      </c>
      <c r="I44" s="3">
        <f t="shared" si="0"/>
        <v>118156.26000000001</v>
      </c>
      <c r="J44" s="3">
        <v>0.55180399999999996</v>
      </c>
      <c r="K44" s="3">
        <v>1</v>
      </c>
    </row>
    <row r="45" spans="1:16" x14ac:dyDescent="0.35">
      <c r="A45" s="4" t="s">
        <v>7</v>
      </c>
      <c r="B45" s="4" t="s">
        <v>26</v>
      </c>
      <c r="C45" s="4">
        <v>2</v>
      </c>
      <c r="D45" s="5">
        <v>43152</v>
      </c>
      <c r="E45" s="3">
        <v>60</v>
      </c>
      <c r="F45" s="3">
        <v>702.36416670000006</v>
      </c>
      <c r="G45" s="3">
        <v>306173.59000000003</v>
      </c>
      <c r="H45" s="3">
        <v>183395.64</v>
      </c>
      <c r="I45" s="3">
        <f t="shared" si="0"/>
        <v>122777.95000000001</v>
      </c>
      <c r="J45" s="3">
        <v>0.55180399999999996</v>
      </c>
      <c r="K45" s="3">
        <v>1</v>
      </c>
      <c r="P45" s="7"/>
    </row>
    <row r="46" spans="1:16" x14ac:dyDescent="0.35">
      <c r="A46" s="4" t="s">
        <v>7</v>
      </c>
      <c r="B46" s="4" t="s">
        <v>27</v>
      </c>
      <c r="C46" s="4">
        <v>2</v>
      </c>
      <c r="D46" s="5">
        <v>43152</v>
      </c>
      <c r="E46" s="3">
        <v>60</v>
      </c>
      <c r="F46" s="3">
        <v>702.36416670000006</v>
      </c>
      <c r="G46" s="3">
        <v>211803.57</v>
      </c>
      <c r="H46" s="3">
        <v>126340.3</v>
      </c>
      <c r="I46" s="3">
        <f t="shared" si="0"/>
        <v>85463.27</v>
      </c>
      <c r="J46" s="3">
        <v>0.55180399999999996</v>
      </c>
      <c r="K46" s="3">
        <v>1</v>
      </c>
    </row>
    <row r="47" spans="1:16" x14ac:dyDescent="0.35">
      <c r="A47" s="4" t="s">
        <v>7</v>
      </c>
      <c r="B47" s="4" t="s">
        <v>28</v>
      </c>
      <c r="C47" s="4">
        <v>2</v>
      </c>
      <c r="D47" s="5">
        <v>43152</v>
      </c>
      <c r="E47" s="3">
        <v>60</v>
      </c>
      <c r="F47" s="3">
        <v>702.36416670000006</v>
      </c>
      <c r="G47" s="3">
        <v>216864.73</v>
      </c>
      <c r="H47" s="3">
        <v>126108.57</v>
      </c>
      <c r="I47" s="3">
        <f t="shared" si="0"/>
        <v>90756.160000000003</v>
      </c>
      <c r="J47" s="3">
        <v>0.55180399999999996</v>
      </c>
      <c r="K47" s="3">
        <v>1</v>
      </c>
    </row>
    <row r="48" spans="1:16" x14ac:dyDescent="0.35">
      <c r="A48" s="4" t="s">
        <v>7</v>
      </c>
      <c r="B48" s="4" t="s">
        <v>29</v>
      </c>
      <c r="C48" s="4">
        <v>2</v>
      </c>
      <c r="D48" s="5">
        <v>43152</v>
      </c>
      <c r="E48" s="3">
        <v>60</v>
      </c>
      <c r="F48" s="3">
        <v>702.36416670000006</v>
      </c>
      <c r="G48" s="3">
        <v>270910.53000000003</v>
      </c>
      <c r="H48" s="3">
        <v>163351.76</v>
      </c>
      <c r="I48" s="3">
        <f t="shared" si="0"/>
        <v>107558.77000000002</v>
      </c>
      <c r="J48" s="3">
        <v>0.55180399999999996</v>
      </c>
      <c r="K48" s="3">
        <v>2</v>
      </c>
      <c r="L48" s="3" t="s">
        <v>4</v>
      </c>
    </row>
    <row r="49" spans="1:11" x14ac:dyDescent="0.35">
      <c r="A49" s="4" t="s">
        <v>7</v>
      </c>
      <c r="B49" s="4" t="s">
        <v>30</v>
      </c>
      <c r="C49" s="4">
        <v>2</v>
      </c>
      <c r="D49" s="5">
        <v>43152</v>
      </c>
      <c r="E49" s="3">
        <v>60</v>
      </c>
      <c r="F49" s="3">
        <v>702.36416670000006</v>
      </c>
      <c r="G49" s="3">
        <v>288579.21000000002</v>
      </c>
      <c r="H49" s="3">
        <v>177387.68</v>
      </c>
      <c r="I49" s="3">
        <f t="shared" si="0"/>
        <v>111191.53000000003</v>
      </c>
      <c r="J49" s="3">
        <v>0.55180399999999996</v>
      </c>
      <c r="K49" s="3">
        <v>1</v>
      </c>
    </row>
    <row r="50" spans="1:11" x14ac:dyDescent="0.35">
      <c r="A50" s="4" t="s">
        <v>8</v>
      </c>
      <c r="B50" s="4" t="s">
        <v>31</v>
      </c>
      <c r="C50" s="4">
        <v>2</v>
      </c>
      <c r="D50" s="5">
        <v>43152</v>
      </c>
      <c r="E50" s="3">
        <v>60</v>
      </c>
      <c r="F50" s="3">
        <v>702.36416670000006</v>
      </c>
      <c r="G50" s="3">
        <v>76206.03</v>
      </c>
      <c r="H50" s="3">
        <v>46397.26</v>
      </c>
      <c r="I50" s="3">
        <f t="shared" si="0"/>
        <v>29808.769999999997</v>
      </c>
      <c r="J50" s="3">
        <v>0.55180399999999996</v>
      </c>
      <c r="K50" s="3">
        <v>1</v>
      </c>
    </row>
    <row r="51" spans="1:11" x14ac:dyDescent="0.35">
      <c r="A51" s="4" t="s">
        <v>8</v>
      </c>
      <c r="B51" s="4" t="s">
        <v>32</v>
      </c>
      <c r="C51" s="4">
        <v>2</v>
      </c>
      <c r="D51" s="5">
        <v>43152</v>
      </c>
      <c r="E51" s="3">
        <v>60</v>
      </c>
      <c r="F51" s="3">
        <v>702.36416670000006</v>
      </c>
      <c r="G51" s="3">
        <v>197851.21</v>
      </c>
      <c r="H51" s="3">
        <v>120005.54</v>
      </c>
      <c r="I51" s="3">
        <f t="shared" si="0"/>
        <v>77845.67</v>
      </c>
      <c r="J51" s="3">
        <v>0.55180399999999996</v>
      </c>
      <c r="K51" s="3">
        <v>1</v>
      </c>
    </row>
    <row r="52" spans="1:11" x14ac:dyDescent="0.35">
      <c r="A52" s="4" t="s">
        <v>8</v>
      </c>
      <c r="B52" s="4" t="s">
        <v>33</v>
      </c>
      <c r="C52" s="4">
        <v>2</v>
      </c>
      <c r="D52" s="5">
        <v>43152</v>
      </c>
      <c r="E52" s="3">
        <v>60</v>
      </c>
      <c r="F52" s="3">
        <v>702.36416670000006</v>
      </c>
      <c r="G52" s="3">
        <v>220629.2</v>
      </c>
      <c r="H52" s="3">
        <v>125406.67</v>
      </c>
      <c r="I52" s="3">
        <f t="shared" si="0"/>
        <v>95222.530000000013</v>
      </c>
      <c r="J52" s="3">
        <v>0.55180399999999996</v>
      </c>
      <c r="K52" s="3">
        <v>1</v>
      </c>
    </row>
    <row r="53" spans="1:11" x14ac:dyDescent="0.35">
      <c r="A53" s="4" t="s">
        <v>8</v>
      </c>
      <c r="B53" s="4" t="s">
        <v>34</v>
      </c>
      <c r="C53" s="4">
        <v>2</v>
      </c>
      <c r="D53" s="5">
        <v>43152</v>
      </c>
      <c r="E53" s="3">
        <v>60</v>
      </c>
      <c r="F53" s="3">
        <v>702.36416670000006</v>
      </c>
      <c r="G53" s="3">
        <v>90277.95</v>
      </c>
      <c r="H53" s="3">
        <v>54115.199999999997</v>
      </c>
      <c r="I53" s="3">
        <f t="shared" si="0"/>
        <v>36162.75</v>
      </c>
      <c r="J53" s="3">
        <v>0.55180399999999996</v>
      </c>
      <c r="K53" s="3">
        <v>1</v>
      </c>
    </row>
    <row r="54" spans="1:11" x14ac:dyDescent="0.35">
      <c r="A54" s="4" t="s">
        <v>8</v>
      </c>
      <c r="B54" s="4" t="s">
        <v>35</v>
      </c>
      <c r="C54" s="4">
        <v>2</v>
      </c>
      <c r="D54" s="5">
        <v>43152</v>
      </c>
      <c r="E54" s="3">
        <v>60</v>
      </c>
      <c r="F54" s="3">
        <v>702.36416670000006</v>
      </c>
      <c r="G54" s="3">
        <v>249227.53</v>
      </c>
      <c r="H54" s="3">
        <v>101291.37</v>
      </c>
      <c r="I54" s="3">
        <f t="shared" si="0"/>
        <v>147936.16</v>
      </c>
      <c r="J54" s="3">
        <v>0.55180399999999996</v>
      </c>
      <c r="K54" s="3">
        <v>1</v>
      </c>
    </row>
    <row r="55" spans="1:11" x14ac:dyDescent="0.35">
      <c r="A55" s="4" t="s">
        <v>8</v>
      </c>
      <c r="B55" s="4" t="s">
        <v>36</v>
      </c>
      <c r="C55" s="4">
        <v>2</v>
      </c>
      <c r="D55" s="5">
        <v>43152</v>
      </c>
      <c r="E55" s="3">
        <v>60</v>
      </c>
      <c r="F55" s="3">
        <v>702.36416670000006</v>
      </c>
      <c r="G55" s="3">
        <v>176138.06</v>
      </c>
      <c r="H55" s="3">
        <v>104295.18</v>
      </c>
      <c r="I55" s="3">
        <f t="shared" si="0"/>
        <v>71842.880000000005</v>
      </c>
      <c r="J55" s="3">
        <v>0.55180399999999996</v>
      </c>
      <c r="K55" s="3">
        <v>1</v>
      </c>
    </row>
    <row r="56" spans="1:11" x14ac:dyDescent="0.35">
      <c r="A56" s="4" t="s">
        <v>8</v>
      </c>
      <c r="B56" s="4" t="s">
        <v>37</v>
      </c>
      <c r="C56" s="4">
        <v>2</v>
      </c>
      <c r="D56" s="5">
        <v>43152</v>
      </c>
      <c r="E56" s="3">
        <v>60</v>
      </c>
      <c r="F56" s="3">
        <v>702.36416670000006</v>
      </c>
      <c r="G56" s="3">
        <v>179038.34</v>
      </c>
      <c r="H56" s="3">
        <v>105326.64</v>
      </c>
      <c r="I56" s="3">
        <f t="shared" si="0"/>
        <v>73711.7</v>
      </c>
      <c r="J56" s="3">
        <v>0.55180399999999996</v>
      </c>
      <c r="K56" s="3">
        <v>1</v>
      </c>
    </row>
    <row r="57" spans="1:11" x14ac:dyDescent="0.35">
      <c r="A57" s="4" t="s">
        <v>8</v>
      </c>
      <c r="B57" s="4" t="s">
        <v>38</v>
      </c>
      <c r="C57" s="4">
        <v>2</v>
      </c>
      <c r="D57" s="5">
        <v>43152</v>
      </c>
      <c r="E57" s="3">
        <v>60</v>
      </c>
      <c r="F57" s="3">
        <v>702.36416670000006</v>
      </c>
      <c r="G57" s="3">
        <v>209400.23</v>
      </c>
      <c r="H57" s="3">
        <v>121520.67</v>
      </c>
      <c r="I57" s="3">
        <f t="shared" si="0"/>
        <v>87879.560000000012</v>
      </c>
      <c r="J57" s="3">
        <v>0.55180399999999996</v>
      </c>
      <c r="K57" s="3">
        <v>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D1B2-A51A-47C3-B0C4-3E7F72B7B058}">
  <dimension ref="A1:T36"/>
  <sheetViews>
    <sheetView topLeftCell="H1" workbookViewId="0">
      <selection activeCell="S4" sqref="S4"/>
    </sheetView>
  </sheetViews>
  <sheetFormatPr defaultColWidth="12" defaultRowHeight="16" x14ac:dyDescent="0.4"/>
  <cols>
    <col min="1" max="2" width="12" style="11"/>
    <col min="3" max="3" width="14.1796875" style="12" bestFit="1" customWidth="1"/>
    <col min="4" max="4" width="7.1796875" style="12" bestFit="1" customWidth="1"/>
    <col min="5" max="5" width="14.1796875" style="12" bestFit="1" customWidth="1"/>
    <col min="6" max="6" width="8.26953125" style="12" bestFit="1" customWidth="1"/>
    <col min="7" max="9" width="14.1796875" style="12" bestFit="1" customWidth="1"/>
    <col min="10" max="10" width="8.26953125" style="12" bestFit="1" customWidth="1"/>
    <col min="11" max="14" width="12" style="11"/>
    <col min="15" max="15" width="18.08984375" style="11" bestFit="1" customWidth="1"/>
    <col min="16" max="16384" width="12" style="11"/>
  </cols>
  <sheetData>
    <row r="1" spans="1:20" x14ac:dyDescent="0.4">
      <c r="A1" s="36" t="s">
        <v>3</v>
      </c>
      <c r="B1" s="35" t="s">
        <v>10</v>
      </c>
      <c r="C1" s="34" t="s">
        <v>63</v>
      </c>
      <c r="D1" s="34"/>
      <c r="E1" s="34"/>
      <c r="F1" s="33" t="s">
        <v>61</v>
      </c>
      <c r="G1" s="34" t="s">
        <v>62</v>
      </c>
      <c r="H1" s="34"/>
      <c r="I1" s="34"/>
      <c r="J1" s="33" t="s">
        <v>61</v>
      </c>
      <c r="K1" s="32" t="s">
        <v>60</v>
      </c>
      <c r="L1" s="14"/>
      <c r="M1" s="31" t="s">
        <v>59</v>
      </c>
      <c r="N1" s="31"/>
      <c r="O1" s="31"/>
      <c r="P1" s="31"/>
      <c r="Q1" s="31"/>
      <c r="R1" s="31"/>
      <c r="S1" s="31"/>
      <c r="T1" s="31"/>
    </row>
    <row r="2" spans="1:20" x14ac:dyDescent="0.4">
      <c r="A2" s="19" t="s">
        <v>5</v>
      </c>
      <c r="B2" s="19" t="s">
        <v>11</v>
      </c>
      <c r="C2" s="13">
        <v>27.176259999999999</v>
      </c>
      <c r="D2" s="13">
        <v>27.680975</v>
      </c>
      <c r="E2" s="13">
        <v>27.871345999999999</v>
      </c>
      <c r="F2" s="16">
        <f>AVERAGE(C2:E2)</f>
        <v>27.576193666666668</v>
      </c>
      <c r="G2" s="18">
        <v>39.947422000000003</v>
      </c>
      <c r="H2" s="18">
        <v>40.271847000000001</v>
      </c>
      <c r="I2" s="18">
        <v>44.603290000000001</v>
      </c>
      <c r="J2" s="16">
        <f>AVERAGE(G2:I2)</f>
        <v>41.607519666666668</v>
      </c>
      <c r="K2" s="15">
        <f>J2-F2</f>
        <v>14.031326</v>
      </c>
      <c r="L2" s="15"/>
      <c r="M2" s="30" t="s">
        <v>3</v>
      </c>
      <c r="N2" s="28" t="s">
        <v>58</v>
      </c>
      <c r="O2" s="28" t="s">
        <v>57</v>
      </c>
      <c r="P2" s="28" t="s">
        <v>56</v>
      </c>
      <c r="Q2" s="29" t="s">
        <v>55</v>
      </c>
      <c r="R2" s="29" t="s">
        <v>54</v>
      </c>
      <c r="S2" s="29" t="s">
        <v>53</v>
      </c>
      <c r="T2" s="28" t="s">
        <v>52</v>
      </c>
    </row>
    <row r="3" spans="1:20" x14ac:dyDescent="0.4">
      <c r="A3" s="19" t="s">
        <v>5</v>
      </c>
      <c r="B3" s="19" t="s">
        <v>12</v>
      </c>
      <c r="C3" s="13">
        <v>27.828554</v>
      </c>
      <c r="D3" s="13">
        <v>28.150300000000001</v>
      </c>
      <c r="E3" s="13">
        <v>28.000157999999999</v>
      </c>
      <c r="F3" s="16">
        <f>AVERAGE(C3:E3)</f>
        <v>27.993003999999999</v>
      </c>
      <c r="G3" s="18">
        <v>40.860280000000003</v>
      </c>
      <c r="H3" s="18">
        <v>38.341976000000003</v>
      </c>
      <c r="I3" s="18">
        <v>36.90663</v>
      </c>
      <c r="J3" s="16">
        <f>AVERAGE(G3:I3)</f>
        <v>38.702962000000007</v>
      </c>
      <c r="K3" s="15">
        <f>J3-F3</f>
        <v>10.709958000000007</v>
      </c>
      <c r="L3" s="15"/>
      <c r="M3" s="11" t="s">
        <v>5</v>
      </c>
      <c r="N3" s="13">
        <f>AVERAGE(K2:K5)</f>
        <v>12.629952291666669</v>
      </c>
      <c r="O3" s="12">
        <f>STDEV(K2:K5)/SQRT(4)</f>
        <v>1.2176542401419899</v>
      </c>
      <c r="P3" s="13">
        <f>N3-$N$6</f>
        <v>-1.9011597916666645</v>
      </c>
      <c r="Q3" s="12">
        <f>2^(-P3)</f>
        <v>3.7351334569330823</v>
      </c>
      <c r="R3" s="12">
        <f>SQRT((O3^2)+(O3^2))</f>
        <v>1.7220231406899076</v>
      </c>
      <c r="S3" s="12">
        <f>2^((-P3)+R3)</f>
        <v>12.322157126506502</v>
      </c>
      <c r="T3" s="12">
        <f>S3-Q3</f>
        <v>8.5870236695734192</v>
      </c>
    </row>
    <row r="4" spans="1:20" x14ac:dyDescent="0.4">
      <c r="A4" s="19" t="s">
        <v>5</v>
      </c>
      <c r="B4" s="19" t="s">
        <v>13</v>
      </c>
      <c r="C4" s="13">
        <v>28.436261999999999</v>
      </c>
      <c r="D4" s="13">
        <v>28.223428999999999</v>
      </c>
      <c r="E4" s="13">
        <v>28.433914000000001</v>
      </c>
      <c r="F4" s="16">
        <f>AVERAGE(C4:E4)</f>
        <v>28.364535</v>
      </c>
      <c r="G4" s="18">
        <v>39.998463000000001</v>
      </c>
      <c r="H4" s="18">
        <v>36.252822999999999</v>
      </c>
      <c r="I4" s="18">
        <v>40.159350000000003</v>
      </c>
      <c r="J4" s="16">
        <f>AVERAGE(G4:I4)</f>
        <v>38.803545333333332</v>
      </c>
      <c r="K4" s="15">
        <f>J4-F4</f>
        <v>10.439010333333332</v>
      </c>
      <c r="L4" s="15"/>
      <c r="M4" s="11" t="s">
        <v>6</v>
      </c>
      <c r="N4" s="13">
        <f>AVERAGE(K6:K13)</f>
        <v>11.32067320833333</v>
      </c>
      <c r="O4" s="12">
        <f>STDEV(K6:K13)/SQRT(8)</f>
        <v>1.1290616852733788</v>
      </c>
      <c r="P4" s="13">
        <f>N4-$N$6</f>
        <v>-3.210438875000003</v>
      </c>
      <c r="Q4" s="12">
        <f>2^(-P4)</f>
        <v>9.2563208617923056</v>
      </c>
      <c r="R4" s="12">
        <f>SQRT((O4^2)+(O3^2))</f>
        <v>1.6605607901212556</v>
      </c>
      <c r="S4" s="12">
        <f>2^((-P4)+R4)</f>
        <v>29.262876071489789</v>
      </c>
      <c r="T4" s="12">
        <f>S4-Q4</f>
        <v>20.006555209697481</v>
      </c>
    </row>
    <row r="5" spans="1:20" x14ac:dyDescent="0.4">
      <c r="A5" s="19" t="s">
        <v>5</v>
      </c>
      <c r="B5" s="19" t="s">
        <v>14</v>
      </c>
      <c r="C5" s="13">
        <v>26.272594000000002</v>
      </c>
      <c r="D5" s="13">
        <v>26.276658999999999</v>
      </c>
      <c r="E5" s="13">
        <v>26.517492000000001</v>
      </c>
      <c r="F5" s="16">
        <f>AVERAGE(C5:E5)</f>
        <v>26.355581666666666</v>
      </c>
      <c r="G5" s="18">
        <v>37.200980000000001</v>
      </c>
      <c r="H5" s="17" t="s">
        <v>51</v>
      </c>
      <c r="I5" s="18">
        <v>46.189213000000002</v>
      </c>
      <c r="J5" s="16">
        <f>AVERAGE(G5:I5)</f>
        <v>41.695096500000005</v>
      </c>
      <c r="K5" s="15">
        <f>J5-F5</f>
        <v>15.33951483333334</v>
      </c>
      <c r="L5" s="15"/>
      <c r="M5" s="11" t="s">
        <v>7</v>
      </c>
      <c r="N5" s="13">
        <f>AVERAGE(K14:K21)</f>
        <v>13.361708499999997</v>
      </c>
      <c r="O5" s="12">
        <f>STDEV(K14:K21)/SQRT(7)</f>
        <v>1.4793618023774642</v>
      </c>
      <c r="P5" s="13">
        <f>N5-$N$6</f>
        <v>-1.1694035833333363</v>
      </c>
      <c r="Q5" s="12">
        <f>2^(-P5)</f>
        <v>2.2491869530770612</v>
      </c>
      <c r="R5" s="12">
        <f>SQRT((O5^2)+(O3^2))</f>
        <v>1.9160358010405927</v>
      </c>
      <c r="S5" s="12">
        <f>2^((-P5)+R5)</f>
        <v>8.4880866523608578</v>
      </c>
      <c r="T5" s="12">
        <f>S5-Q5</f>
        <v>6.2388996992837971</v>
      </c>
    </row>
    <row r="6" spans="1:20" x14ac:dyDescent="0.4">
      <c r="A6" s="19" t="s">
        <v>6</v>
      </c>
      <c r="B6" s="19" t="s">
        <v>15</v>
      </c>
      <c r="C6" s="13">
        <v>27.105810000000002</v>
      </c>
      <c r="D6" s="13">
        <v>27.410361999999999</v>
      </c>
      <c r="E6" s="13">
        <v>27.04937</v>
      </c>
      <c r="F6" s="16">
        <f>AVERAGE(C6:E6)</f>
        <v>27.188513999999998</v>
      </c>
      <c r="G6" s="18">
        <v>44.982017999999997</v>
      </c>
      <c r="H6" s="17" t="s">
        <v>51</v>
      </c>
      <c r="I6" s="18">
        <v>43.331690000000002</v>
      </c>
      <c r="J6" s="16">
        <f>AVERAGE(G6:I6)</f>
        <v>44.156853999999996</v>
      </c>
      <c r="K6" s="15">
        <f>J6-F6</f>
        <v>16.968339999999998</v>
      </c>
      <c r="L6" s="15"/>
      <c r="M6" s="11" t="s">
        <v>8</v>
      </c>
      <c r="N6" s="13">
        <f>AVERAGE(K22:K29)</f>
        <v>14.531112083333333</v>
      </c>
      <c r="O6" s="12">
        <f>STDEV(K22:K29)/SQRT(4)</f>
        <v>2.389877535348341</v>
      </c>
      <c r="P6" s="13">
        <f>N6-$N$6</f>
        <v>0</v>
      </c>
      <c r="Q6" s="12">
        <f>2^(-P6)</f>
        <v>1</v>
      </c>
      <c r="R6" s="12">
        <f>SQRT((O6^2)+(O3^2))</f>
        <v>2.6821999333566517</v>
      </c>
      <c r="S6" s="12">
        <f>2^((-P6)+R6)</f>
        <v>6.418338743383913</v>
      </c>
      <c r="T6" s="12">
        <f>S6-Q6</f>
        <v>5.418338743383913</v>
      </c>
    </row>
    <row r="7" spans="1:20" x14ac:dyDescent="0.4">
      <c r="A7" s="19" t="s">
        <v>6</v>
      </c>
      <c r="B7" s="19" t="s">
        <v>16</v>
      </c>
      <c r="C7" s="13">
        <v>27.108066999999998</v>
      </c>
      <c r="D7" s="13">
        <v>27.541992</v>
      </c>
      <c r="E7" s="13">
        <v>27.654040999999999</v>
      </c>
      <c r="F7" s="16">
        <f>AVERAGE(C7:E7)</f>
        <v>27.434700000000003</v>
      </c>
      <c r="G7" s="18">
        <v>45.345993</v>
      </c>
      <c r="H7" s="18">
        <v>40.437137999999997</v>
      </c>
      <c r="I7" s="18">
        <v>40.633983999999998</v>
      </c>
      <c r="J7" s="16">
        <f>AVERAGE(G7:I7)</f>
        <v>42.139038333333332</v>
      </c>
      <c r="K7" s="15">
        <f>J7-F7</f>
        <v>14.704338333333329</v>
      </c>
      <c r="L7" s="15"/>
      <c r="M7" s="15"/>
      <c r="O7" s="27"/>
      <c r="P7" s="26"/>
      <c r="Q7" s="26"/>
      <c r="R7" s="26"/>
      <c r="S7" s="26"/>
    </row>
    <row r="8" spans="1:20" x14ac:dyDescent="0.4">
      <c r="A8" s="19" t="s">
        <v>6</v>
      </c>
      <c r="B8" s="19" t="s">
        <v>17</v>
      </c>
      <c r="C8" s="13">
        <v>27.720251000000001</v>
      </c>
      <c r="D8" s="13">
        <v>27.668832999999999</v>
      </c>
      <c r="E8" s="13">
        <v>28.080152999999999</v>
      </c>
      <c r="F8" s="16">
        <f>AVERAGE(C8:E8)</f>
        <v>27.823078999999996</v>
      </c>
      <c r="G8" s="18">
        <v>39.011966999999999</v>
      </c>
      <c r="H8" s="18">
        <v>37.116573000000002</v>
      </c>
      <c r="I8" s="18">
        <v>37.786200000000001</v>
      </c>
      <c r="J8" s="16">
        <f>AVERAGE(G8:I8)</f>
        <v>37.971579999999996</v>
      </c>
      <c r="K8" s="15">
        <f>J8-F8</f>
        <v>10.148501</v>
      </c>
      <c r="L8" s="15"/>
      <c r="M8" s="25"/>
      <c r="N8" s="25"/>
      <c r="O8" s="25"/>
      <c r="P8" s="25"/>
      <c r="Q8" s="25"/>
      <c r="R8" s="25"/>
      <c r="S8" s="25"/>
      <c r="T8" s="25"/>
    </row>
    <row r="9" spans="1:20" x14ac:dyDescent="0.4">
      <c r="A9" s="19" t="s">
        <v>6</v>
      </c>
      <c r="B9" s="19" t="s">
        <v>18</v>
      </c>
      <c r="C9" s="13">
        <v>28.721710000000002</v>
      </c>
      <c r="D9" s="13">
        <v>29.139685</v>
      </c>
      <c r="E9" s="13">
        <v>29.204350000000002</v>
      </c>
      <c r="F9" s="16">
        <f>AVERAGE(C9:E9)</f>
        <v>29.021915000000003</v>
      </c>
      <c r="G9" s="18">
        <v>39.685600000000001</v>
      </c>
      <c r="H9" s="18">
        <v>37.747109999999999</v>
      </c>
      <c r="I9" s="18">
        <v>38.810035999999997</v>
      </c>
      <c r="J9" s="16">
        <f>AVERAGE(G9:I9)</f>
        <v>38.747582000000001</v>
      </c>
      <c r="K9" s="15">
        <f>J9-F9</f>
        <v>9.7256669999999978</v>
      </c>
      <c r="L9" s="15"/>
      <c r="M9" s="24"/>
      <c r="N9" s="22"/>
      <c r="O9" s="22"/>
      <c r="P9" s="22"/>
      <c r="Q9" s="23"/>
      <c r="R9" s="23"/>
      <c r="S9" s="23"/>
      <c r="T9" s="22"/>
    </row>
    <row r="10" spans="1:20" x14ac:dyDescent="0.4">
      <c r="A10" s="19" t="s">
        <v>6</v>
      </c>
      <c r="B10" s="19" t="s">
        <v>19</v>
      </c>
      <c r="C10" s="13">
        <v>26.912113000000002</v>
      </c>
      <c r="D10" s="13">
        <v>26.858757000000001</v>
      </c>
      <c r="E10" s="13">
        <v>26.908912999999998</v>
      </c>
      <c r="F10" s="16">
        <f>AVERAGE(C10:E10)</f>
        <v>26.893260999999999</v>
      </c>
      <c r="G10" s="18">
        <v>35.002426</v>
      </c>
      <c r="H10" s="18">
        <v>35.127018</v>
      </c>
      <c r="I10" s="18">
        <v>35.472830000000002</v>
      </c>
      <c r="J10" s="16">
        <f>AVERAGE(G10:I10)</f>
        <v>35.200758</v>
      </c>
      <c r="K10" s="15">
        <f>J10-F10</f>
        <v>8.3074970000000015</v>
      </c>
      <c r="L10" s="15"/>
      <c r="N10" s="13"/>
      <c r="O10" s="12"/>
      <c r="P10" s="13"/>
      <c r="Q10" s="12"/>
      <c r="R10" s="12"/>
      <c r="S10" s="12"/>
      <c r="T10" s="12"/>
    </row>
    <row r="11" spans="1:20" x14ac:dyDescent="0.4">
      <c r="A11" s="19" t="s">
        <v>6</v>
      </c>
      <c r="B11" s="19" t="s">
        <v>20</v>
      </c>
      <c r="C11" s="13">
        <v>28.408132999999999</v>
      </c>
      <c r="D11" s="13">
        <v>28.405407</v>
      </c>
      <c r="E11" s="13">
        <v>28.136756999999999</v>
      </c>
      <c r="F11" s="16">
        <f>AVERAGE(C11:E11)</f>
        <v>28.316765666666669</v>
      </c>
      <c r="G11" s="18">
        <v>38.455399999999997</v>
      </c>
      <c r="H11" s="18">
        <v>37.905296</v>
      </c>
      <c r="I11" s="18">
        <v>39.429400000000001</v>
      </c>
      <c r="J11" s="16">
        <f>AVERAGE(G11:I11)</f>
        <v>38.596698666666661</v>
      </c>
      <c r="K11" s="15">
        <f>J11-F11</f>
        <v>10.279932999999993</v>
      </c>
      <c r="L11" s="15"/>
      <c r="N11" s="13"/>
      <c r="O11" s="12"/>
      <c r="P11" s="13"/>
      <c r="Q11" s="12"/>
      <c r="R11" s="12"/>
      <c r="S11" s="12"/>
      <c r="T11" s="12"/>
    </row>
    <row r="12" spans="1:20" x14ac:dyDescent="0.4">
      <c r="A12" s="19" t="s">
        <v>6</v>
      </c>
      <c r="B12" s="19" t="s">
        <v>21</v>
      </c>
      <c r="C12" s="13">
        <v>29.714935000000001</v>
      </c>
      <c r="D12" s="13">
        <v>29.795708000000001</v>
      </c>
      <c r="E12" s="13">
        <v>29.610785</v>
      </c>
      <c r="F12" s="16">
        <f>AVERAGE(C12:E12)</f>
        <v>29.70714266666667</v>
      </c>
      <c r="G12" s="18">
        <v>39.215870000000002</v>
      </c>
      <c r="H12" s="18">
        <v>36.877749999999999</v>
      </c>
      <c r="I12" s="18">
        <v>36.474663</v>
      </c>
      <c r="J12" s="16">
        <f>AVERAGE(G12:I12)</f>
        <v>37.522761000000003</v>
      </c>
      <c r="K12" s="15">
        <f>J12-F12</f>
        <v>7.8156183333333331</v>
      </c>
      <c r="L12" s="15"/>
      <c r="N12" s="13"/>
      <c r="O12" s="12"/>
      <c r="P12" s="13"/>
      <c r="Q12" s="12"/>
      <c r="R12" s="12"/>
      <c r="S12" s="12"/>
      <c r="T12" s="12"/>
    </row>
    <row r="13" spans="1:20" x14ac:dyDescent="0.4">
      <c r="A13" s="19" t="s">
        <v>6</v>
      </c>
      <c r="B13" s="19" t="s">
        <v>22</v>
      </c>
      <c r="C13" s="13">
        <v>26.297049999999999</v>
      </c>
      <c r="D13" s="13">
        <v>26.27319</v>
      </c>
      <c r="E13" s="13">
        <v>26.202106000000001</v>
      </c>
      <c r="F13" s="16">
        <f>AVERAGE(C13:E13)</f>
        <v>26.257448666666665</v>
      </c>
      <c r="G13" s="18">
        <v>39.395083999999997</v>
      </c>
      <c r="H13" s="18">
        <v>35.870773</v>
      </c>
      <c r="I13" s="18">
        <v>41.352961999999998</v>
      </c>
      <c r="J13" s="16">
        <f>AVERAGE(G13:I13)</f>
        <v>38.872939666666667</v>
      </c>
      <c r="K13" s="15">
        <f>J13-F13</f>
        <v>12.615491000000002</v>
      </c>
      <c r="L13" s="15"/>
      <c r="N13" s="13"/>
      <c r="O13" s="12"/>
      <c r="P13" s="13"/>
      <c r="Q13" s="12"/>
      <c r="R13" s="12"/>
      <c r="S13" s="12"/>
      <c r="T13" s="12"/>
    </row>
    <row r="14" spans="1:20" x14ac:dyDescent="0.4">
      <c r="A14" s="19" t="s">
        <v>7</v>
      </c>
      <c r="B14" s="19" t="s">
        <v>23</v>
      </c>
      <c r="C14" s="13">
        <v>28.140162</v>
      </c>
      <c r="D14" s="13">
        <v>28.174624999999999</v>
      </c>
      <c r="E14" s="13">
        <v>27.656153</v>
      </c>
      <c r="F14" s="16">
        <f>AVERAGE(C14:E14)</f>
        <v>27.990313333333333</v>
      </c>
      <c r="G14" s="18">
        <v>39.920333999999997</v>
      </c>
      <c r="H14" s="17" t="s">
        <v>51</v>
      </c>
      <c r="I14" s="17" t="s">
        <v>51</v>
      </c>
      <c r="J14" s="16">
        <f>AVERAGE(G14:I14)</f>
        <v>39.920333999999997</v>
      </c>
      <c r="K14" s="15">
        <f>J14-F14</f>
        <v>11.930020666666664</v>
      </c>
      <c r="L14" s="15"/>
      <c r="M14" s="15"/>
    </row>
    <row r="15" spans="1:20" x14ac:dyDescent="0.4">
      <c r="A15" s="19" t="s">
        <v>7</v>
      </c>
      <c r="B15" s="19" t="s">
        <v>24</v>
      </c>
      <c r="C15" s="13">
        <v>27.760134000000001</v>
      </c>
      <c r="D15" s="13">
        <v>28.211134000000001</v>
      </c>
      <c r="E15" s="13">
        <v>28.403105</v>
      </c>
      <c r="F15" s="16">
        <f>AVERAGE(C15:E15)</f>
        <v>28.124791000000002</v>
      </c>
      <c r="G15" s="18">
        <v>36.859690000000001</v>
      </c>
      <c r="H15" s="18">
        <v>36.320056999999998</v>
      </c>
      <c r="I15" s="18">
        <v>37.396484000000001</v>
      </c>
      <c r="J15" s="16">
        <f>AVERAGE(G15:I15)</f>
        <v>36.858743666666662</v>
      </c>
      <c r="K15" s="15">
        <f>J15-F15</f>
        <v>8.73395266666666</v>
      </c>
      <c r="L15" s="15"/>
      <c r="M15" s="15"/>
    </row>
    <row r="16" spans="1:20" x14ac:dyDescent="0.4">
      <c r="A16" s="19" t="s">
        <v>7</v>
      </c>
      <c r="B16" s="19" t="s">
        <v>25</v>
      </c>
      <c r="C16" s="13">
        <v>29.233536000000001</v>
      </c>
      <c r="D16" s="13">
        <v>29.005130000000001</v>
      </c>
      <c r="E16" s="13">
        <v>29.241226000000001</v>
      </c>
      <c r="F16" s="16">
        <f>AVERAGE(C16:E16)</f>
        <v>29.159964000000002</v>
      </c>
      <c r="G16" s="18">
        <v>38.943040000000003</v>
      </c>
      <c r="H16" s="18">
        <v>37.338410000000003</v>
      </c>
      <c r="I16" s="18">
        <v>38.892710000000001</v>
      </c>
      <c r="J16" s="16">
        <f>AVERAGE(G16:I16)</f>
        <v>38.391386666666669</v>
      </c>
      <c r="K16" s="15">
        <f>J16-F16</f>
        <v>9.231422666666667</v>
      </c>
      <c r="L16" s="15"/>
      <c r="M16" s="15"/>
    </row>
    <row r="17" spans="1:13" x14ac:dyDescent="0.4">
      <c r="A17" s="19" t="s">
        <v>7</v>
      </c>
      <c r="B17" s="19" t="s">
        <v>26</v>
      </c>
      <c r="C17" s="13">
        <v>25.898721999999999</v>
      </c>
      <c r="D17" s="13">
        <v>25.879270000000002</v>
      </c>
      <c r="E17" s="13">
        <v>26.177389999999999</v>
      </c>
      <c r="F17" s="16">
        <f>AVERAGE(C17:E17)</f>
        <v>25.985127333333335</v>
      </c>
      <c r="G17" s="21">
        <v>45.170529999999999</v>
      </c>
      <c r="H17" s="21">
        <v>38.878906000000001</v>
      </c>
      <c r="I17" s="17" t="s">
        <v>51</v>
      </c>
      <c r="J17" s="16">
        <f>AVERAGE(G17:I17)</f>
        <v>42.024718</v>
      </c>
      <c r="K17" s="15">
        <f>J17-F17</f>
        <v>16.039590666666665</v>
      </c>
      <c r="L17" s="15"/>
      <c r="M17" s="15"/>
    </row>
    <row r="18" spans="1:13" x14ac:dyDescent="0.4">
      <c r="A18" s="19" t="s">
        <v>7</v>
      </c>
      <c r="B18" s="19" t="s">
        <v>27</v>
      </c>
      <c r="C18" s="13">
        <v>27.923597000000001</v>
      </c>
      <c r="D18" s="13">
        <v>27.637447000000002</v>
      </c>
      <c r="E18" s="13">
        <v>28.328396000000001</v>
      </c>
      <c r="F18" s="16">
        <f>AVERAGE(C18:E18)</f>
        <v>27.96314666666667</v>
      </c>
      <c r="G18" s="17" t="s">
        <v>51</v>
      </c>
      <c r="H18" s="18">
        <v>40.123505000000002</v>
      </c>
      <c r="I18" s="17" t="s">
        <v>51</v>
      </c>
      <c r="J18" s="16">
        <f>AVERAGE(G18:I18)</f>
        <v>40.123505000000002</v>
      </c>
      <c r="K18" s="15">
        <f>J18-F18</f>
        <v>12.160358333333331</v>
      </c>
      <c r="L18" s="15"/>
      <c r="M18" s="15"/>
    </row>
    <row r="19" spans="1:13" x14ac:dyDescent="0.4">
      <c r="A19" s="19" t="s">
        <v>7</v>
      </c>
      <c r="B19" s="19" t="s">
        <v>28</v>
      </c>
      <c r="C19" s="13">
        <v>28.608913000000001</v>
      </c>
      <c r="D19" s="13">
        <v>28.818521</v>
      </c>
      <c r="E19" s="13">
        <v>29.141183999999999</v>
      </c>
      <c r="F19" s="16">
        <f>AVERAGE(C19:E19)</f>
        <v>28.856206</v>
      </c>
      <c r="G19" s="17" t="s">
        <v>51</v>
      </c>
      <c r="H19" s="18">
        <v>45.022392000000004</v>
      </c>
      <c r="I19" s="17" t="s">
        <v>51</v>
      </c>
      <c r="J19" s="16">
        <f>AVERAGE(G19:I19)</f>
        <v>45.022392000000004</v>
      </c>
      <c r="K19" s="15">
        <f>J19-F19</f>
        <v>16.166186000000003</v>
      </c>
      <c r="L19" s="15"/>
      <c r="M19" s="15"/>
    </row>
    <row r="20" spans="1:13" x14ac:dyDescent="0.4">
      <c r="A20" s="19" t="s">
        <v>7</v>
      </c>
      <c r="B20" s="19" t="s">
        <v>29</v>
      </c>
      <c r="C20" s="13">
        <v>27.783847999999999</v>
      </c>
      <c r="D20" s="13">
        <v>27.443525000000001</v>
      </c>
      <c r="E20" s="13">
        <v>27.682081</v>
      </c>
      <c r="F20" s="16">
        <f>AVERAGE(C20:E20)</f>
        <v>27.636484666666664</v>
      </c>
      <c r="G20" s="17" t="s">
        <v>51</v>
      </c>
      <c r="H20" s="17" t="s">
        <v>51</v>
      </c>
      <c r="I20" s="17" t="s">
        <v>51</v>
      </c>
      <c r="J20" s="16"/>
      <c r="K20" s="15"/>
      <c r="L20" s="15"/>
      <c r="M20" s="15"/>
    </row>
    <row r="21" spans="1:13" x14ac:dyDescent="0.4">
      <c r="A21" s="19" t="s">
        <v>7</v>
      </c>
      <c r="B21" s="19" t="s">
        <v>30</v>
      </c>
      <c r="C21" s="13">
        <v>25.945204</v>
      </c>
      <c r="D21" s="13">
        <v>25.970466999999999</v>
      </c>
      <c r="E21" s="13">
        <v>26.173953999999998</v>
      </c>
      <c r="F21" s="16">
        <f>AVERAGE(C21:E21)</f>
        <v>26.029875000000001</v>
      </c>
      <c r="G21" s="18">
        <v>44.535910000000001</v>
      </c>
      <c r="H21" s="18">
        <v>46.064697000000002</v>
      </c>
      <c r="I21" s="17" t="s">
        <v>51</v>
      </c>
      <c r="J21" s="16">
        <f>AVERAGE(G21:I21)</f>
        <v>45.300303499999998</v>
      </c>
      <c r="K21" s="15">
        <f>J21-F21</f>
        <v>19.270428499999998</v>
      </c>
      <c r="L21" s="15"/>
      <c r="M21" s="15"/>
    </row>
    <row r="22" spans="1:13" x14ac:dyDescent="0.4">
      <c r="A22" s="19" t="s">
        <v>8</v>
      </c>
      <c r="B22" s="19" t="s">
        <v>31</v>
      </c>
      <c r="C22" s="13">
        <v>27.246137999999998</v>
      </c>
      <c r="D22" s="13">
        <v>27.965857</v>
      </c>
      <c r="E22" s="13">
        <v>28.244902</v>
      </c>
      <c r="F22" s="16">
        <f>AVERAGE(C22:E22)</f>
        <v>27.818965666666667</v>
      </c>
      <c r="G22" s="18">
        <v>39.034255999999999</v>
      </c>
      <c r="H22" s="17" t="s">
        <v>51</v>
      </c>
      <c r="I22" s="18">
        <v>41.734250000000003</v>
      </c>
      <c r="J22" s="16">
        <f>AVERAGE(G22:I22)</f>
        <v>40.384253000000001</v>
      </c>
      <c r="K22" s="15">
        <f>J22-F22</f>
        <v>12.565287333333334</v>
      </c>
      <c r="L22" s="15"/>
      <c r="M22" s="15"/>
    </row>
    <row r="23" spans="1:13" x14ac:dyDescent="0.4">
      <c r="A23" s="19" t="s">
        <v>8</v>
      </c>
      <c r="B23" s="19" t="s">
        <v>32</v>
      </c>
      <c r="C23" s="13">
        <v>28.558159</v>
      </c>
      <c r="D23" s="13">
        <v>28.222553000000001</v>
      </c>
      <c r="E23" s="13">
        <v>28.616019999999999</v>
      </c>
      <c r="F23" s="16">
        <f>AVERAGE(C23:E23)</f>
        <v>28.465577333333332</v>
      </c>
      <c r="G23" s="17" t="s">
        <v>51</v>
      </c>
      <c r="H23" s="17" t="s">
        <v>51</v>
      </c>
      <c r="I23" s="17" t="s">
        <v>51</v>
      </c>
      <c r="J23" s="16"/>
      <c r="K23" s="15"/>
      <c r="L23" s="15"/>
      <c r="M23" s="15"/>
    </row>
    <row r="24" spans="1:13" x14ac:dyDescent="0.4">
      <c r="A24" s="19" t="s">
        <v>8</v>
      </c>
      <c r="B24" s="19" t="s">
        <v>33</v>
      </c>
      <c r="C24" s="13">
        <v>28.421382999999999</v>
      </c>
      <c r="D24" s="13">
        <v>28.176680000000001</v>
      </c>
      <c r="E24" s="13">
        <v>28.406255999999999</v>
      </c>
      <c r="F24" s="16">
        <f>AVERAGE(C24:E24)</f>
        <v>28.334772999999998</v>
      </c>
      <c r="G24" s="17" t="s">
        <v>51</v>
      </c>
      <c r="H24" s="17" t="s">
        <v>51</v>
      </c>
      <c r="I24" s="18">
        <v>45.086860000000001</v>
      </c>
      <c r="J24" s="16">
        <f>AVERAGE(G24:I24)</f>
        <v>45.086860000000001</v>
      </c>
      <c r="K24" s="15">
        <f>J24-F24</f>
        <v>16.752087000000003</v>
      </c>
      <c r="L24" s="15"/>
      <c r="M24" s="15"/>
    </row>
    <row r="25" spans="1:13" x14ac:dyDescent="0.4">
      <c r="A25" s="19" t="s">
        <v>8</v>
      </c>
      <c r="B25" s="19" t="s">
        <v>34</v>
      </c>
      <c r="C25" s="13">
        <v>28.608816000000001</v>
      </c>
      <c r="D25" s="13">
        <v>28.284566999999999</v>
      </c>
      <c r="E25" s="13">
        <v>28.756428</v>
      </c>
      <c r="F25" s="16">
        <f>AVERAGE(C25:E25)</f>
        <v>28.549937</v>
      </c>
      <c r="G25" s="17" t="s">
        <v>51</v>
      </c>
      <c r="H25" s="17" t="s">
        <v>51</v>
      </c>
      <c r="I25" s="17" t="s">
        <v>51</v>
      </c>
      <c r="J25" s="16"/>
      <c r="K25" s="15"/>
      <c r="L25" s="15"/>
      <c r="M25" s="15"/>
    </row>
    <row r="26" spans="1:13" x14ac:dyDescent="0.4">
      <c r="A26" s="19" t="s">
        <v>8</v>
      </c>
      <c r="B26" s="19" t="s">
        <v>35</v>
      </c>
      <c r="C26" s="13">
        <v>28.526655000000002</v>
      </c>
      <c r="D26" s="13">
        <v>28.450051999999999</v>
      </c>
      <c r="E26" s="13">
        <v>28.122123999999999</v>
      </c>
      <c r="F26" s="16">
        <f>AVERAGE(C26:E26)</f>
        <v>28.366277</v>
      </c>
      <c r="G26" s="17" t="s">
        <v>51</v>
      </c>
      <c r="H26" s="17" t="s">
        <v>51</v>
      </c>
      <c r="I26" s="17" t="s">
        <v>51</v>
      </c>
      <c r="J26" s="16"/>
      <c r="K26" s="15"/>
      <c r="L26" s="15"/>
      <c r="M26" s="15"/>
    </row>
    <row r="27" spans="1:13" x14ac:dyDescent="0.4">
      <c r="A27" s="19" t="s">
        <v>8</v>
      </c>
      <c r="B27" s="19" t="s">
        <v>36</v>
      </c>
      <c r="C27" s="13">
        <v>28.810563999999999</v>
      </c>
      <c r="D27" s="13">
        <v>29.097897</v>
      </c>
      <c r="E27" s="13">
        <v>28.562480000000001</v>
      </c>
      <c r="F27" s="16">
        <f>AVERAGE(C27:E27)</f>
        <v>28.823647000000005</v>
      </c>
      <c r="G27" s="18">
        <v>37.763283000000001</v>
      </c>
      <c r="H27" s="17" t="s">
        <v>51</v>
      </c>
      <c r="I27" s="17" t="s">
        <v>51</v>
      </c>
      <c r="J27" s="16">
        <f>AVERAGE(G27:I27)</f>
        <v>37.763283000000001</v>
      </c>
      <c r="K27" s="15">
        <f>J27-F27</f>
        <v>8.9396359999999966</v>
      </c>
      <c r="L27" s="15"/>
      <c r="M27" s="15"/>
    </row>
    <row r="28" spans="1:13" x14ac:dyDescent="0.4">
      <c r="A28" s="19" t="s">
        <v>8</v>
      </c>
      <c r="B28" s="19" t="s">
        <v>37</v>
      </c>
      <c r="C28" s="20" t="s">
        <v>51</v>
      </c>
      <c r="D28" s="20">
        <v>42.174056999999998</v>
      </c>
      <c r="E28" s="20" t="s">
        <v>51</v>
      </c>
      <c r="F28" s="17"/>
      <c r="G28" s="17" t="s">
        <v>51</v>
      </c>
      <c r="H28" s="17" t="s">
        <v>51</v>
      </c>
      <c r="I28" s="17" t="s">
        <v>51</v>
      </c>
      <c r="J28" s="17"/>
      <c r="K28" s="20"/>
      <c r="L28" s="15"/>
      <c r="M28" s="15"/>
    </row>
    <row r="29" spans="1:13" x14ac:dyDescent="0.4">
      <c r="A29" s="19" t="s">
        <v>8</v>
      </c>
      <c r="B29" s="19" t="s">
        <v>38</v>
      </c>
      <c r="C29" s="13">
        <v>26.030989000000002</v>
      </c>
      <c r="D29" s="13">
        <v>26.811385999999999</v>
      </c>
      <c r="E29" s="13">
        <v>26.848413000000001</v>
      </c>
      <c r="F29" s="16">
        <f>AVERAGE(C29:E29)</f>
        <v>26.563596</v>
      </c>
      <c r="G29" s="17" t="s">
        <v>51</v>
      </c>
      <c r="H29" s="18">
        <v>47.524161999999997</v>
      </c>
      <c r="I29" s="18">
        <v>45.337905999999997</v>
      </c>
      <c r="J29" s="16">
        <f>AVERAGE(G29:I29)</f>
        <v>46.431033999999997</v>
      </c>
      <c r="K29" s="15">
        <f>J29-F29</f>
        <v>19.867437999999996</v>
      </c>
      <c r="L29" s="15"/>
      <c r="M29" s="15"/>
    </row>
    <row r="30" spans="1:13" x14ac:dyDescent="0.4">
      <c r="C30" s="13">
        <v>32.771644999999999</v>
      </c>
      <c r="D30" s="13">
        <v>31.085625</v>
      </c>
      <c r="E30" s="13">
        <v>34.294750000000001</v>
      </c>
      <c r="F30" s="16">
        <f>AVERAGE(C30:E30)</f>
        <v>32.71734</v>
      </c>
      <c r="G30" s="17" t="s">
        <v>51</v>
      </c>
      <c r="H30" s="17" t="s">
        <v>51</v>
      </c>
      <c r="I30" s="17" t="s">
        <v>51</v>
      </c>
      <c r="J30" s="16"/>
      <c r="K30" s="15"/>
      <c r="L30" s="14"/>
      <c r="M30" s="14"/>
    </row>
    <row r="33" spans="6:6" x14ac:dyDescent="0.4">
      <c r="F33" s="13"/>
    </row>
    <row r="34" spans="6:6" x14ac:dyDescent="0.4">
      <c r="F34" s="13"/>
    </row>
    <row r="35" spans="6:6" x14ac:dyDescent="0.4">
      <c r="F35" s="13"/>
    </row>
    <row r="36" spans="6:6" x14ac:dyDescent="0.4">
      <c r="F36" s="13"/>
    </row>
  </sheetData>
  <mergeCells count="4">
    <mergeCell ref="M8:T8"/>
    <mergeCell ref="C1:E1"/>
    <mergeCell ref="G1:I1"/>
    <mergeCell ref="M1:T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00C9-B6C3-4837-8494-B15A8FEC29A6}">
  <dimension ref="A1:AB30"/>
  <sheetViews>
    <sheetView topLeftCell="A11" workbookViewId="0">
      <selection activeCell="G33" sqref="G33"/>
    </sheetView>
  </sheetViews>
  <sheetFormatPr defaultRowHeight="14.5" x14ac:dyDescent="0.35"/>
  <cols>
    <col min="1" max="1" width="7.54296875" bestFit="1" customWidth="1"/>
    <col min="2" max="2" width="7.453125" bestFit="1" customWidth="1"/>
    <col min="3" max="3" width="9.08984375" bestFit="1" customWidth="1"/>
    <col min="4" max="4" width="8.36328125" bestFit="1" customWidth="1"/>
    <col min="5" max="5" width="9.08984375" bestFit="1" customWidth="1"/>
    <col min="6" max="6" width="8.36328125" bestFit="1" customWidth="1"/>
    <col min="7" max="7" width="9.08984375" bestFit="1" customWidth="1"/>
    <col min="8" max="8" width="8.36328125" bestFit="1" customWidth="1"/>
    <col min="9" max="9" width="9.08984375" bestFit="1" customWidth="1"/>
    <col min="10" max="10" width="8.36328125" bestFit="1" customWidth="1"/>
    <col min="11" max="11" width="9.08984375" bestFit="1" customWidth="1"/>
    <col min="12" max="12" width="8.36328125" bestFit="1" customWidth="1"/>
    <col min="13" max="13" width="9.08984375" bestFit="1" customWidth="1"/>
    <col min="14" max="14" width="8.36328125" bestFit="1" customWidth="1"/>
    <col min="15" max="15" width="11.90625" bestFit="1" customWidth="1"/>
    <col min="16" max="16" width="9.08984375" bestFit="1" customWidth="1"/>
    <col min="17" max="17" width="8.36328125" bestFit="1" customWidth="1"/>
    <col min="18" max="18" width="9.08984375" bestFit="1" customWidth="1"/>
    <col min="19" max="19" width="8.36328125" bestFit="1" customWidth="1"/>
    <col min="20" max="20" width="9.08984375" bestFit="1" customWidth="1"/>
    <col min="21" max="21" width="8.36328125" bestFit="1" customWidth="1"/>
    <col min="22" max="22" width="9.08984375" bestFit="1" customWidth="1"/>
    <col min="23" max="23" width="8.36328125" bestFit="1" customWidth="1"/>
    <col min="24" max="24" width="9.08984375" bestFit="1" customWidth="1"/>
    <col min="25" max="25" width="8.36328125" bestFit="1" customWidth="1"/>
    <col min="26" max="26" width="9.08984375" bestFit="1" customWidth="1"/>
    <col min="27" max="27" width="8.36328125" bestFit="1" customWidth="1"/>
    <col min="28" max="28" width="11.90625" bestFit="1" customWidth="1"/>
  </cols>
  <sheetData>
    <row r="1" spans="1:28" x14ac:dyDescent="0.35">
      <c r="A1" s="48"/>
      <c r="B1" s="45"/>
      <c r="C1" s="47" t="s">
        <v>68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 t="s">
        <v>67</v>
      </c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x14ac:dyDescent="0.35">
      <c r="A2" s="46" t="s">
        <v>3</v>
      </c>
      <c r="B2" s="45" t="s">
        <v>10</v>
      </c>
      <c r="C2" s="44" t="s">
        <v>66</v>
      </c>
      <c r="D2" s="44" t="s">
        <v>65</v>
      </c>
      <c r="E2" s="44" t="s">
        <v>66</v>
      </c>
      <c r="F2" s="44" t="s">
        <v>65</v>
      </c>
      <c r="G2" s="44" t="s">
        <v>66</v>
      </c>
      <c r="H2" s="44" t="s">
        <v>65</v>
      </c>
      <c r="I2" s="44" t="s">
        <v>66</v>
      </c>
      <c r="J2" s="44" t="s">
        <v>65</v>
      </c>
      <c r="K2" s="44" t="s">
        <v>66</v>
      </c>
      <c r="L2" s="44" t="s">
        <v>65</v>
      </c>
      <c r="M2" s="44" t="s">
        <v>66</v>
      </c>
      <c r="N2" s="44" t="s">
        <v>65</v>
      </c>
      <c r="O2" s="44" t="s">
        <v>64</v>
      </c>
      <c r="P2" s="44" t="s">
        <v>66</v>
      </c>
      <c r="Q2" s="44" t="s">
        <v>65</v>
      </c>
      <c r="R2" s="44" t="s">
        <v>66</v>
      </c>
      <c r="S2" s="44" t="s">
        <v>65</v>
      </c>
      <c r="T2" s="44" t="s">
        <v>66</v>
      </c>
      <c r="U2" s="44" t="s">
        <v>65</v>
      </c>
      <c r="V2" s="44" t="s">
        <v>66</v>
      </c>
      <c r="W2" s="44" t="s">
        <v>65</v>
      </c>
      <c r="X2" s="44" t="s">
        <v>66</v>
      </c>
      <c r="Y2" s="44" t="s">
        <v>65</v>
      </c>
      <c r="Z2" s="44" t="s">
        <v>66</v>
      </c>
      <c r="AA2" s="44" t="s">
        <v>65</v>
      </c>
      <c r="AB2" s="44" t="s">
        <v>64</v>
      </c>
    </row>
    <row r="3" spans="1:28" x14ac:dyDescent="0.35">
      <c r="A3" s="19" t="s">
        <v>5</v>
      </c>
      <c r="B3" s="19" t="s">
        <v>11</v>
      </c>
      <c r="C3" s="39">
        <v>103</v>
      </c>
      <c r="D3" s="43">
        <v>18</v>
      </c>
      <c r="E3" s="39">
        <v>113</v>
      </c>
      <c r="F3" s="43">
        <v>14</v>
      </c>
      <c r="G3" s="39">
        <v>70</v>
      </c>
      <c r="H3" s="43">
        <v>10</v>
      </c>
      <c r="I3" s="39">
        <v>85</v>
      </c>
      <c r="J3" s="43">
        <v>10</v>
      </c>
      <c r="K3" s="39">
        <v>81</v>
      </c>
      <c r="L3" s="43">
        <v>9</v>
      </c>
      <c r="M3" s="39">
        <v>95</v>
      </c>
      <c r="N3" s="43">
        <v>8</v>
      </c>
      <c r="O3" s="42">
        <f>(((SUM(D3,F3,H3,J3,L3,N3)))/SUM(C3,E3,G3,I3,K3,M3))</f>
        <v>0.12614259597806216</v>
      </c>
      <c r="P3" s="39">
        <v>73</v>
      </c>
      <c r="Q3" s="43">
        <v>6</v>
      </c>
      <c r="R3" s="39">
        <v>70</v>
      </c>
      <c r="S3" s="43">
        <v>11</v>
      </c>
      <c r="T3" s="39">
        <v>85</v>
      </c>
      <c r="U3" s="43">
        <v>17</v>
      </c>
      <c r="V3" s="39">
        <v>94</v>
      </c>
      <c r="W3" s="43">
        <v>12</v>
      </c>
      <c r="X3" s="39">
        <v>95</v>
      </c>
      <c r="Y3" s="43">
        <v>12</v>
      </c>
      <c r="Z3" s="39">
        <v>90</v>
      </c>
      <c r="AA3" s="43">
        <v>12</v>
      </c>
      <c r="AB3" s="42">
        <f>(((SUM(Q3,S3,U3,W3,Y3,AA3)))/SUM(P3,R3,T3,V3,X3,Z3))</f>
        <v>0.13806706114398423</v>
      </c>
    </row>
    <row r="4" spans="1:28" x14ac:dyDescent="0.35">
      <c r="A4" s="19" t="s">
        <v>5</v>
      </c>
      <c r="B4" s="19" t="s">
        <v>12</v>
      </c>
      <c r="C4" s="39">
        <v>144</v>
      </c>
      <c r="D4" s="38">
        <v>22</v>
      </c>
      <c r="E4" s="39">
        <v>136</v>
      </c>
      <c r="F4" s="38">
        <v>22</v>
      </c>
      <c r="G4" s="39">
        <v>125</v>
      </c>
      <c r="H4" s="38">
        <v>17</v>
      </c>
      <c r="I4" s="39">
        <v>149</v>
      </c>
      <c r="J4" s="38">
        <v>21</v>
      </c>
      <c r="K4" s="39">
        <v>145</v>
      </c>
      <c r="L4" s="38">
        <v>26</v>
      </c>
      <c r="M4" s="39">
        <v>131</v>
      </c>
      <c r="N4" s="38">
        <v>18</v>
      </c>
      <c r="O4" s="37">
        <f>(((SUM(D4,F4,H4,J4,L4,N4)))/SUM(C4,E4,G4,I4,K4,M4))</f>
        <v>0.15180722891566265</v>
      </c>
      <c r="P4" s="39">
        <v>152</v>
      </c>
      <c r="Q4" s="38">
        <v>29</v>
      </c>
      <c r="R4" s="39">
        <v>131</v>
      </c>
      <c r="S4" s="38">
        <v>22</v>
      </c>
      <c r="T4" s="39">
        <v>134</v>
      </c>
      <c r="U4" s="38">
        <v>22</v>
      </c>
      <c r="V4" s="39">
        <v>131</v>
      </c>
      <c r="W4" s="38">
        <v>21</v>
      </c>
      <c r="X4" s="39">
        <v>137</v>
      </c>
      <c r="Y4" s="38">
        <v>27</v>
      </c>
      <c r="Z4" s="39">
        <v>134</v>
      </c>
      <c r="AA4" s="38">
        <v>25</v>
      </c>
      <c r="AB4" s="37">
        <f>(((SUM(Q4,S4,U4,W4,Y4,AA4)))/SUM(P4,R4,T4,V4,X4,Z4))</f>
        <v>0.17826617826617827</v>
      </c>
    </row>
    <row r="5" spans="1:28" x14ac:dyDescent="0.35">
      <c r="A5" s="19" t="s">
        <v>5</v>
      </c>
      <c r="B5" s="19" t="s">
        <v>13</v>
      </c>
      <c r="C5" s="39">
        <v>62</v>
      </c>
      <c r="D5" s="38">
        <v>9</v>
      </c>
      <c r="E5" s="39">
        <v>75</v>
      </c>
      <c r="F5" s="38">
        <v>11</v>
      </c>
      <c r="G5" s="39">
        <v>56</v>
      </c>
      <c r="H5" s="38">
        <v>9</v>
      </c>
      <c r="I5" s="39">
        <v>69</v>
      </c>
      <c r="J5" s="38">
        <v>12</v>
      </c>
      <c r="K5" s="39">
        <v>76</v>
      </c>
      <c r="L5" s="38">
        <v>10</v>
      </c>
      <c r="M5" s="39">
        <v>56</v>
      </c>
      <c r="N5" s="38">
        <v>10</v>
      </c>
      <c r="O5" s="37">
        <f>(((SUM(D5,F5,H5,J5,L5,N5)))/SUM(C5,E5,G5,I5,K5,M5))</f>
        <v>0.1548223350253807</v>
      </c>
      <c r="P5" s="39">
        <v>89</v>
      </c>
      <c r="Q5" s="38">
        <v>10</v>
      </c>
      <c r="R5" s="39">
        <v>73</v>
      </c>
      <c r="S5" s="38">
        <v>12</v>
      </c>
      <c r="T5" s="39">
        <v>80</v>
      </c>
      <c r="U5" s="38">
        <v>6</v>
      </c>
      <c r="V5" s="39">
        <v>89</v>
      </c>
      <c r="W5" s="38">
        <v>5</v>
      </c>
      <c r="X5" s="39">
        <v>107</v>
      </c>
      <c r="Y5" s="38">
        <v>7</v>
      </c>
      <c r="Z5" s="39">
        <v>114</v>
      </c>
      <c r="AA5" s="38">
        <v>12</v>
      </c>
      <c r="AB5" s="37">
        <f>(((SUM(Q5,S5,U5,W5,Y5,AA5)))/SUM(P5,R5,T5,V5,X5,Z5))</f>
        <v>9.420289855072464E-2</v>
      </c>
    </row>
    <row r="6" spans="1:28" x14ac:dyDescent="0.35">
      <c r="A6" s="19" t="s">
        <v>5</v>
      </c>
      <c r="B6" s="19" t="s">
        <v>14</v>
      </c>
      <c r="C6" s="39">
        <v>69</v>
      </c>
      <c r="D6" s="38">
        <v>7</v>
      </c>
      <c r="E6" s="39">
        <v>47</v>
      </c>
      <c r="F6" s="38">
        <v>4</v>
      </c>
      <c r="G6" s="39">
        <v>51</v>
      </c>
      <c r="H6" s="38">
        <v>7</v>
      </c>
      <c r="I6" s="39">
        <v>47</v>
      </c>
      <c r="J6" s="38">
        <v>4</v>
      </c>
      <c r="K6" s="39">
        <v>49</v>
      </c>
      <c r="L6" s="38">
        <v>5</v>
      </c>
      <c r="M6" s="39">
        <v>61</v>
      </c>
      <c r="N6" s="38">
        <v>9</v>
      </c>
      <c r="O6" s="37">
        <f>(((SUM(D6,F6,H6,J6,L6,N6)))/SUM(C6,E6,G6,I6,K6,M6))</f>
        <v>0.1111111111111111</v>
      </c>
      <c r="P6" s="39">
        <v>53</v>
      </c>
      <c r="Q6" s="38">
        <v>2</v>
      </c>
      <c r="R6" s="39">
        <v>56</v>
      </c>
      <c r="S6" s="38">
        <v>9</v>
      </c>
      <c r="T6" s="39">
        <v>66</v>
      </c>
      <c r="U6" s="38">
        <v>5</v>
      </c>
      <c r="V6" s="39">
        <v>69</v>
      </c>
      <c r="W6" s="38">
        <v>9</v>
      </c>
      <c r="X6" s="39">
        <v>68</v>
      </c>
      <c r="Y6" s="38">
        <v>9</v>
      </c>
      <c r="Z6" s="39">
        <v>56</v>
      </c>
      <c r="AA6" s="38">
        <v>5</v>
      </c>
      <c r="AB6" s="37">
        <f>(((SUM(Q6,S6,U6,W6,Y6,AA6)))/SUM(P6,R6,T6,V6,X6,Z6))</f>
        <v>0.10597826086956522</v>
      </c>
    </row>
    <row r="7" spans="1:28" x14ac:dyDescent="0.35">
      <c r="A7" s="19" t="s">
        <v>6</v>
      </c>
      <c r="B7" s="19" t="s">
        <v>15</v>
      </c>
      <c r="C7" s="41">
        <v>96</v>
      </c>
      <c r="D7" s="40">
        <v>5</v>
      </c>
      <c r="E7" s="41">
        <v>94</v>
      </c>
      <c r="F7" s="40">
        <v>10</v>
      </c>
      <c r="G7" s="39">
        <v>105</v>
      </c>
      <c r="H7" s="38">
        <v>6</v>
      </c>
      <c r="I7" s="39">
        <v>105</v>
      </c>
      <c r="J7" s="38">
        <v>9</v>
      </c>
      <c r="K7" s="39">
        <v>104</v>
      </c>
      <c r="L7" s="38">
        <v>8</v>
      </c>
      <c r="M7" s="39">
        <v>79</v>
      </c>
      <c r="N7" s="38">
        <v>8</v>
      </c>
      <c r="O7" s="37">
        <f>(((SUM(D7,F7,H7,J7,L7,N7)))/SUM(C7,E7,G7,I7,K7,M7))</f>
        <v>7.8902229845626073E-2</v>
      </c>
      <c r="P7" s="39">
        <v>108</v>
      </c>
      <c r="Q7" s="38">
        <v>8</v>
      </c>
      <c r="R7" s="39">
        <v>97</v>
      </c>
      <c r="S7" s="38">
        <v>6</v>
      </c>
      <c r="T7" s="39">
        <v>102</v>
      </c>
      <c r="U7" s="38">
        <v>7</v>
      </c>
      <c r="V7" s="39">
        <v>111</v>
      </c>
      <c r="W7" s="38">
        <v>12</v>
      </c>
      <c r="X7" s="39">
        <v>107</v>
      </c>
      <c r="Y7" s="38">
        <v>5</v>
      </c>
      <c r="Z7" s="39">
        <v>114</v>
      </c>
      <c r="AA7" s="38">
        <v>4</v>
      </c>
      <c r="AB7" s="37">
        <f>(((SUM(Q7,S7,U7,W7,Y7,AA7)))/SUM(P7,R7,T7,V7,X7,Z7))</f>
        <v>6.5727699530516437E-2</v>
      </c>
    </row>
    <row r="8" spans="1:28" x14ac:dyDescent="0.35">
      <c r="A8" s="19" t="s">
        <v>6</v>
      </c>
      <c r="B8" s="19" t="s">
        <v>16</v>
      </c>
      <c r="C8" s="41">
        <v>137</v>
      </c>
      <c r="D8" s="40">
        <v>11</v>
      </c>
      <c r="E8" s="41">
        <v>152</v>
      </c>
      <c r="F8" s="40">
        <v>17</v>
      </c>
      <c r="G8" s="39">
        <v>146</v>
      </c>
      <c r="H8" s="38">
        <v>10</v>
      </c>
      <c r="I8" s="39">
        <v>164</v>
      </c>
      <c r="J8" s="38">
        <v>17</v>
      </c>
      <c r="K8" s="39">
        <v>165</v>
      </c>
      <c r="L8" s="38">
        <v>15</v>
      </c>
      <c r="M8" s="39">
        <v>172</v>
      </c>
      <c r="N8" s="38">
        <v>14</v>
      </c>
      <c r="O8" s="37">
        <f>(((SUM(D8,F8,H8,J8,L8,N8)))/SUM(C8,E8,G8,I8,K8,M8))</f>
        <v>8.9743589743589744E-2</v>
      </c>
      <c r="P8" s="39">
        <v>132</v>
      </c>
      <c r="Q8" s="38">
        <v>16</v>
      </c>
      <c r="R8" s="39">
        <v>108</v>
      </c>
      <c r="S8" s="38">
        <v>16</v>
      </c>
      <c r="T8" s="39">
        <v>146</v>
      </c>
      <c r="U8" s="38">
        <v>18</v>
      </c>
      <c r="V8" s="39">
        <v>159</v>
      </c>
      <c r="W8" s="38">
        <v>14</v>
      </c>
      <c r="X8" s="39">
        <v>135</v>
      </c>
      <c r="Y8" s="38">
        <v>16</v>
      </c>
      <c r="Z8" s="39">
        <v>152</v>
      </c>
      <c r="AA8" s="38">
        <v>18</v>
      </c>
      <c r="AB8" s="37">
        <f>(((SUM(Q8,S8,U8,W8,Y8,AA8)))/SUM(P8,R8,T8,V8,X8,Z8))</f>
        <v>0.11778846153846154</v>
      </c>
    </row>
    <row r="9" spans="1:28" x14ac:dyDescent="0.35">
      <c r="A9" s="19" t="s">
        <v>6</v>
      </c>
      <c r="B9" s="19" t="s">
        <v>17</v>
      </c>
      <c r="C9" s="41">
        <v>127</v>
      </c>
      <c r="D9" s="40">
        <v>7</v>
      </c>
      <c r="E9" s="41">
        <v>128</v>
      </c>
      <c r="F9" s="40">
        <v>5</v>
      </c>
      <c r="G9" s="39">
        <v>108</v>
      </c>
      <c r="H9" s="38">
        <v>8</v>
      </c>
      <c r="I9" s="39">
        <v>128</v>
      </c>
      <c r="J9" s="38">
        <v>5</v>
      </c>
      <c r="K9" s="39">
        <v>118</v>
      </c>
      <c r="L9" s="38">
        <v>9</v>
      </c>
      <c r="M9" s="39">
        <v>127</v>
      </c>
      <c r="N9" s="38">
        <v>8</v>
      </c>
      <c r="O9" s="37">
        <f>(((SUM(D9,F9,H9,J9,L9,N9)))/SUM(C9,E9,G9,I9,K9,M9))</f>
        <v>5.7065217391304345E-2</v>
      </c>
      <c r="P9" s="39">
        <v>154</v>
      </c>
      <c r="Q9" s="38">
        <v>11</v>
      </c>
      <c r="R9" s="39">
        <v>158</v>
      </c>
      <c r="S9" s="38">
        <v>11</v>
      </c>
      <c r="T9" s="39">
        <v>155</v>
      </c>
      <c r="U9" s="38">
        <v>11</v>
      </c>
      <c r="V9" s="39">
        <v>151</v>
      </c>
      <c r="W9" s="38">
        <v>6</v>
      </c>
      <c r="X9" s="39">
        <v>162</v>
      </c>
      <c r="Y9" s="38">
        <v>9</v>
      </c>
      <c r="Z9" s="39">
        <v>133</v>
      </c>
      <c r="AA9" s="38">
        <v>6</v>
      </c>
      <c r="AB9" s="37">
        <f>(((SUM(Q9,S9,U9,W9,Y9,AA9)))/SUM(P9,R9,T9,V9,X9,Z9))</f>
        <v>5.9145673603504929E-2</v>
      </c>
    </row>
    <row r="10" spans="1:28" x14ac:dyDescent="0.35">
      <c r="A10" s="19" t="s">
        <v>6</v>
      </c>
      <c r="B10" s="19" t="s">
        <v>18</v>
      </c>
      <c r="C10" s="39">
        <v>157</v>
      </c>
      <c r="D10" s="38">
        <v>5</v>
      </c>
      <c r="E10" s="39">
        <v>159</v>
      </c>
      <c r="F10" s="38">
        <v>14</v>
      </c>
      <c r="G10" s="39">
        <v>157</v>
      </c>
      <c r="H10" s="38">
        <v>11</v>
      </c>
      <c r="I10" s="39">
        <v>180</v>
      </c>
      <c r="J10" s="38">
        <v>18</v>
      </c>
      <c r="K10" s="39">
        <v>180</v>
      </c>
      <c r="L10" s="38">
        <v>17</v>
      </c>
      <c r="M10" s="39">
        <v>210</v>
      </c>
      <c r="N10" s="38">
        <v>21</v>
      </c>
      <c r="O10" s="37">
        <f>(((SUM(D10,F10,H10,J10,L10,N10)))/SUM(C10,E10,G10,I10,K10,M10))</f>
        <v>8.2454458293384464E-2</v>
      </c>
      <c r="P10" s="39">
        <v>169</v>
      </c>
      <c r="Q10" s="38">
        <v>18</v>
      </c>
      <c r="R10" s="39">
        <v>160</v>
      </c>
      <c r="S10" s="38">
        <v>14</v>
      </c>
      <c r="T10" s="39">
        <v>142</v>
      </c>
      <c r="U10" s="38">
        <v>8</v>
      </c>
      <c r="V10" s="39">
        <v>130</v>
      </c>
      <c r="W10" s="38">
        <v>8</v>
      </c>
      <c r="X10" s="39">
        <v>149</v>
      </c>
      <c r="Y10" s="38">
        <v>14</v>
      </c>
      <c r="Z10" s="39">
        <v>143</v>
      </c>
      <c r="AA10" s="38">
        <v>9</v>
      </c>
      <c r="AB10" s="37">
        <f>(((SUM(Q10,S10,U10,W10,Y10,AA10)))/SUM(P10,R10,T10,V10,X10,Z10))</f>
        <v>7.9507278835386344E-2</v>
      </c>
    </row>
    <row r="11" spans="1:28" x14ac:dyDescent="0.35">
      <c r="A11" s="19" t="s">
        <v>6</v>
      </c>
      <c r="B11" s="19" t="s">
        <v>19</v>
      </c>
      <c r="C11" s="39">
        <v>139</v>
      </c>
      <c r="D11" s="38">
        <v>26</v>
      </c>
      <c r="E11" s="39">
        <v>117</v>
      </c>
      <c r="F11" s="38">
        <v>23</v>
      </c>
      <c r="G11" s="39">
        <v>149</v>
      </c>
      <c r="H11" s="38">
        <v>22</v>
      </c>
      <c r="I11" s="39">
        <v>145</v>
      </c>
      <c r="J11" s="38">
        <v>17</v>
      </c>
      <c r="K11" s="39">
        <v>144</v>
      </c>
      <c r="L11" s="38">
        <v>32</v>
      </c>
      <c r="M11" s="39">
        <v>135</v>
      </c>
      <c r="N11" s="38">
        <v>22</v>
      </c>
      <c r="O11" s="37">
        <f>(((SUM(D11,F11,H11,J11,L11,N11)))/SUM(C11,E11,G11,I11,K11,M11))</f>
        <v>0.17129071170084439</v>
      </c>
      <c r="P11" s="39">
        <v>151</v>
      </c>
      <c r="Q11" s="38">
        <v>21</v>
      </c>
      <c r="R11" s="39">
        <v>165</v>
      </c>
      <c r="S11" s="38">
        <v>24</v>
      </c>
      <c r="T11" s="39">
        <v>168</v>
      </c>
      <c r="U11" s="38">
        <v>28</v>
      </c>
      <c r="V11" s="39">
        <v>173</v>
      </c>
      <c r="W11" s="38">
        <v>30</v>
      </c>
      <c r="X11" s="39">
        <v>179</v>
      </c>
      <c r="Y11" s="38">
        <v>30</v>
      </c>
      <c r="Z11" s="39">
        <v>189</v>
      </c>
      <c r="AA11" s="38">
        <v>29</v>
      </c>
      <c r="AB11" s="37">
        <f>(((SUM(Q11,S11,U11,W11,Y11,AA11)))/SUM(P11,R11,T11,V11,X11,Z11))</f>
        <v>0.15804878048780488</v>
      </c>
    </row>
    <row r="12" spans="1:28" x14ac:dyDescent="0.35">
      <c r="A12" s="19" t="s">
        <v>6</v>
      </c>
      <c r="B12" s="19" t="s">
        <v>20</v>
      </c>
      <c r="C12" s="39">
        <v>154</v>
      </c>
      <c r="D12" s="38">
        <v>21</v>
      </c>
      <c r="E12" s="39">
        <v>207</v>
      </c>
      <c r="F12" s="38">
        <v>23</v>
      </c>
      <c r="G12" s="39">
        <v>197</v>
      </c>
      <c r="H12" s="38">
        <v>25</v>
      </c>
      <c r="I12" s="39">
        <v>223</v>
      </c>
      <c r="J12" s="38">
        <v>32</v>
      </c>
      <c r="K12" s="39">
        <v>208</v>
      </c>
      <c r="L12" s="38">
        <v>27</v>
      </c>
      <c r="M12" s="39">
        <v>180</v>
      </c>
      <c r="N12" s="38">
        <v>27</v>
      </c>
      <c r="O12" s="37">
        <f>(((SUM(D12,F12,H12,J12,L12,N12)))/SUM(C12,E12,G12,I12,K12,M12))</f>
        <v>0.13259195893926431</v>
      </c>
      <c r="P12" s="39">
        <v>146</v>
      </c>
      <c r="Q12" s="38">
        <v>19</v>
      </c>
      <c r="R12" s="39">
        <v>183</v>
      </c>
      <c r="S12" s="38">
        <v>26</v>
      </c>
      <c r="T12" s="39">
        <v>173</v>
      </c>
      <c r="U12" s="38">
        <v>22</v>
      </c>
      <c r="V12" s="39">
        <v>219</v>
      </c>
      <c r="W12" s="38">
        <v>28</v>
      </c>
      <c r="X12" s="39">
        <v>179</v>
      </c>
      <c r="Y12" s="38">
        <v>28</v>
      </c>
      <c r="Z12" s="39">
        <v>208</v>
      </c>
      <c r="AA12" s="38">
        <v>34</v>
      </c>
      <c r="AB12" s="37">
        <f>(((SUM(Q12,S12,U12,W12,Y12,AA12)))/SUM(P12,R12,T12,V12,X12,Z12))</f>
        <v>0.14169675090252706</v>
      </c>
    </row>
    <row r="13" spans="1:28" x14ac:dyDescent="0.35">
      <c r="A13" s="19" t="s">
        <v>6</v>
      </c>
      <c r="B13" s="19" t="s">
        <v>21</v>
      </c>
      <c r="C13" s="39">
        <v>241</v>
      </c>
      <c r="D13" s="38">
        <v>24</v>
      </c>
      <c r="E13" s="39">
        <v>197</v>
      </c>
      <c r="F13" s="38">
        <v>37</v>
      </c>
      <c r="G13" s="39">
        <v>239</v>
      </c>
      <c r="H13" s="38">
        <v>24</v>
      </c>
      <c r="I13" s="39">
        <v>241</v>
      </c>
      <c r="J13" s="38">
        <v>31</v>
      </c>
      <c r="K13" s="39">
        <v>213</v>
      </c>
      <c r="L13" s="38">
        <v>31</v>
      </c>
      <c r="M13" s="39">
        <v>183</v>
      </c>
      <c r="N13" s="38">
        <v>24</v>
      </c>
      <c r="O13" s="37">
        <f>(((SUM(D13,F13,H13,J13,L13,N13)))/SUM(C13,E13,G13,I13,K13,M13))</f>
        <v>0.13013698630136986</v>
      </c>
      <c r="P13" s="39">
        <v>270</v>
      </c>
      <c r="Q13" s="38">
        <v>29</v>
      </c>
      <c r="R13" s="39">
        <v>145</v>
      </c>
      <c r="S13" s="38">
        <v>27</v>
      </c>
      <c r="T13" s="39">
        <v>140</v>
      </c>
      <c r="U13" s="38">
        <v>19</v>
      </c>
      <c r="V13" s="39">
        <v>160</v>
      </c>
      <c r="W13" s="38">
        <v>24</v>
      </c>
      <c r="X13" s="39">
        <v>152</v>
      </c>
      <c r="Y13" s="38">
        <v>20</v>
      </c>
      <c r="Z13" s="39">
        <v>167</v>
      </c>
      <c r="AA13" s="38">
        <v>18</v>
      </c>
      <c r="AB13" s="37">
        <f>(((SUM(Q13,S13,U13,W13,Y13,AA13)))/SUM(P13,R13,T13,V13,X13,Z13))</f>
        <v>0.13249516441005801</v>
      </c>
    </row>
    <row r="14" spans="1:28" x14ac:dyDescent="0.35">
      <c r="A14" s="19" t="s">
        <v>6</v>
      </c>
      <c r="B14" s="19" t="s">
        <v>22</v>
      </c>
      <c r="C14" s="39">
        <v>187</v>
      </c>
      <c r="D14" s="38">
        <v>25</v>
      </c>
      <c r="E14" s="39">
        <v>201</v>
      </c>
      <c r="F14" s="38">
        <v>19</v>
      </c>
      <c r="G14" s="39">
        <v>105</v>
      </c>
      <c r="H14" s="38">
        <v>16</v>
      </c>
      <c r="I14" s="39">
        <v>149</v>
      </c>
      <c r="J14" s="38">
        <v>15</v>
      </c>
      <c r="K14" s="39">
        <v>123</v>
      </c>
      <c r="L14" s="38">
        <v>15</v>
      </c>
      <c r="M14" s="39">
        <v>119</v>
      </c>
      <c r="N14" s="38">
        <v>17</v>
      </c>
      <c r="O14" s="37">
        <f>(((SUM(D14,F14,H14,J14,L14,N14)))/SUM(C14,E14,G14,I14,K14,M14))</f>
        <v>0.12104072398190045</v>
      </c>
      <c r="P14" s="39"/>
      <c r="Q14" s="38"/>
      <c r="R14" s="39">
        <v>80</v>
      </c>
      <c r="S14" s="38">
        <v>14</v>
      </c>
      <c r="T14" s="39">
        <v>105</v>
      </c>
      <c r="U14" s="38">
        <v>16</v>
      </c>
      <c r="V14" s="39">
        <v>97</v>
      </c>
      <c r="W14" s="38">
        <v>12</v>
      </c>
      <c r="X14" s="39">
        <v>120</v>
      </c>
      <c r="Y14" s="38">
        <v>25</v>
      </c>
      <c r="Z14" s="39">
        <v>107</v>
      </c>
      <c r="AA14" s="38">
        <v>12</v>
      </c>
      <c r="AB14" s="37">
        <f>(((SUM(Q14,S14,U14,W14,Y14,AA14)))/SUM(P14,R14,T14,V14,X14,Z14))</f>
        <v>0.15520628683693516</v>
      </c>
    </row>
    <row r="15" spans="1:28" x14ac:dyDescent="0.35">
      <c r="A15" s="19" t="s">
        <v>7</v>
      </c>
      <c r="B15" s="19" t="s">
        <v>23</v>
      </c>
      <c r="C15" s="39">
        <v>159</v>
      </c>
      <c r="D15" s="38">
        <v>11</v>
      </c>
      <c r="E15" s="39">
        <v>148</v>
      </c>
      <c r="F15" s="38">
        <v>21</v>
      </c>
      <c r="G15" s="39">
        <v>157</v>
      </c>
      <c r="H15" s="38">
        <v>11</v>
      </c>
      <c r="I15" s="39">
        <v>166</v>
      </c>
      <c r="J15" s="38">
        <v>19</v>
      </c>
      <c r="K15" s="39">
        <v>150</v>
      </c>
      <c r="L15" s="38">
        <v>10</v>
      </c>
      <c r="M15" s="39">
        <v>188</v>
      </c>
      <c r="N15" s="38">
        <v>23</v>
      </c>
      <c r="O15" s="37">
        <f>(((SUM(D15,F15,H15,J15,L15,N15)))/SUM(C15,E15,G15,I15,K15,M15))</f>
        <v>9.8140495867768601E-2</v>
      </c>
      <c r="P15" s="39">
        <v>176</v>
      </c>
      <c r="Q15" s="38">
        <v>14</v>
      </c>
      <c r="R15" s="39">
        <v>178</v>
      </c>
      <c r="S15" s="38">
        <v>14</v>
      </c>
      <c r="T15" s="39">
        <v>139</v>
      </c>
      <c r="U15" s="38">
        <v>6</v>
      </c>
      <c r="V15" s="39">
        <v>138</v>
      </c>
      <c r="W15" s="38">
        <v>11</v>
      </c>
      <c r="X15" s="39">
        <v>133</v>
      </c>
      <c r="Y15" s="38">
        <v>10</v>
      </c>
      <c r="Z15" s="39">
        <v>167</v>
      </c>
      <c r="AA15" s="38">
        <v>18</v>
      </c>
      <c r="AB15" s="37">
        <f>(((SUM(Q15,S15,U15,W15,Y15,AA15)))/SUM(P15,R15,T15,V15,X15,Z15))</f>
        <v>7.8410311493018262E-2</v>
      </c>
    </row>
    <row r="16" spans="1:28" x14ac:dyDescent="0.35">
      <c r="A16" s="19" t="s">
        <v>7</v>
      </c>
      <c r="B16" s="19" t="s">
        <v>24</v>
      </c>
      <c r="C16" s="39">
        <v>197</v>
      </c>
      <c r="D16" s="38">
        <v>37</v>
      </c>
      <c r="E16" s="39">
        <v>106</v>
      </c>
      <c r="F16" s="38">
        <v>19</v>
      </c>
      <c r="G16" s="39">
        <v>107</v>
      </c>
      <c r="H16" s="38">
        <v>13</v>
      </c>
      <c r="I16" s="39">
        <v>114</v>
      </c>
      <c r="J16" s="38">
        <v>26</v>
      </c>
      <c r="K16" s="39">
        <v>104</v>
      </c>
      <c r="L16" s="38">
        <v>28</v>
      </c>
      <c r="M16" s="39">
        <v>90</v>
      </c>
      <c r="N16" s="38">
        <v>10</v>
      </c>
      <c r="O16" s="37">
        <f>(((SUM(D16,F16,H16,J16,L16,N16)))/SUM(C16,E16,G16,I16,K16,M16))</f>
        <v>0.18523676880222842</v>
      </c>
      <c r="P16" s="39">
        <v>171</v>
      </c>
      <c r="Q16" s="38">
        <v>29</v>
      </c>
      <c r="R16" s="39">
        <v>183</v>
      </c>
      <c r="S16" s="38">
        <v>26</v>
      </c>
      <c r="T16" s="39">
        <v>159</v>
      </c>
      <c r="U16" s="38">
        <v>20</v>
      </c>
      <c r="V16" s="39">
        <v>117</v>
      </c>
      <c r="W16" s="38">
        <v>20</v>
      </c>
      <c r="X16" s="39">
        <v>147</v>
      </c>
      <c r="Y16" s="38">
        <v>24</v>
      </c>
      <c r="Z16" s="39">
        <v>113</v>
      </c>
      <c r="AA16" s="38">
        <v>18</v>
      </c>
      <c r="AB16" s="37">
        <f>(((SUM(Q16,S16,U16,W16,Y16,AA16)))/SUM(P16,R16,T16,V16,X16,Z16))</f>
        <v>0.15393258426966291</v>
      </c>
    </row>
    <row r="17" spans="1:28" x14ac:dyDescent="0.35">
      <c r="A17" s="19" t="s">
        <v>7</v>
      </c>
      <c r="B17" s="19" t="s">
        <v>25</v>
      </c>
      <c r="C17" s="39">
        <v>195</v>
      </c>
      <c r="D17" s="38">
        <v>19</v>
      </c>
      <c r="E17" s="39">
        <v>126</v>
      </c>
      <c r="F17" s="38">
        <v>15</v>
      </c>
      <c r="G17" s="39">
        <v>136</v>
      </c>
      <c r="H17" s="38">
        <v>21</v>
      </c>
      <c r="I17" s="39">
        <v>212</v>
      </c>
      <c r="J17" s="38">
        <v>41</v>
      </c>
      <c r="K17" s="39">
        <v>191</v>
      </c>
      <c r="L17" s="38">
        <v>19</v>
      </c>
      <c r="M17" s="39">
        <v>114</v>
      </c>
      <c r="N17" s="38">
        <v>16</v>
      </c>
      <c r="O17" s="37">
        <f>(((SUM(D17,F17,H17,J17,L17,N17)))/SUM(C17,E17,G17,I17,K17,M17))</f>
        <v>0.13449691991786447</v>
      </c>
      <c r="P17" s="39">
        <v>139</v>
      </c>
      <c r="Q17" s="38">
        <v>18</v>
      </c>
      <c r="R17" s="39">
        <v>156</v>
      </c>
      <c r="S17" s="38">
        <v>29</v>
      </c>
      <c r="T17" s="39">
        <v>143</v>
      </c>
      <c r="U17" s="38">
        <v>17</v>
      </c>
      <c r="V17" s="39">
        <v>170</v>
      </c>
      <c r="W17" s="38">
        <v>26</v>
      </c>
      <c r="X17" s="39">
        <v>141</v>
      </c>
      <c r="Y17" s="38">
        <v>18</v>
      </c>
      <c r="Z17" s="39">
        <v>130</v>
      </c>
      <c r="AA17" s="38">
        <v>20</v>
      </c>
      <c r="AB17" s="37">
        <f>(((SUM(Q17,S17,U17,W17,Y17,AA17)))/SUM(P17,R17,T17,V17,X17,Z17))</f>
        <v>0.14562002275312855</v>
      </c>
    </row>
    <row r="18" spans="1:28" x14ac:dyDescent="0.35">
      <c r="A18" s="19" t="s">
        <v>7</v>
      </c>
      <c r="B18" s="19" t="s">
        <v>26</v>
      </c>
      <c r="C18" s="39">
        <v>118</v>
      </c>
      <c r="D18" s="38">
        <v>14</v>
      </c>
      <c r="E18" s="39">
        <v>118</v>
      </c>
      <c r="F18" s="38">
        <v>10</v>
      </c>
      <c r="G18" s="39">
        <v>109</v>
      </c>
      <c r="H18" s="38">
        <v>13</v>
      </c>
      <c r="I18" s="39">
        <v>110</v>
      </c>
      <c r="J18" s="38">
        <v>12</v>
      </c>
      <c r="K18" s="39">
        <v>103</v>
      </c>
      <c r="L18" s="38">
        <v>20</v>
      </c>
      <c r="M18" s="39">
        <v>122</v>
      </c>
      <c r="N18" s="38">
        <v>13</v>
      </c>
      <c r="O18" s="37">
        <f>(((SUM(D18,F18,H18,J18,L18,N18)))/SUM(C18,E18,G18,I18,K18,M18))</f>
        <v>0.12058823529411765</v>
      </c>
      <c r="P18" s="39">
        <v>131</v>
      </c>
      <c r="Q18" s="38">
        <v>16</v>
      </c>
      <c r="R18" s="39">
        <v>108</v>
      </c>
      <c r="S18" s="38">
        <v>12</v>
      </c>
      <c r="T18" s="39">
        <v>107</v>
      </c>
      <c r="U18" s="38">
        <v>7</v>
      </c>
      <c r="V18" s="39">
        <v>145</v>
      </c>
      <c r="W18" s="38">
        <v>15</v>
      </c>
      <c r="X18" s="39">
        <v>145</v>
      </c>
      <c r="Y18" s="38">
        <v>16</v>
      </c>
      <c r="Z18" s="39">
        <v>142</v>
      </c>
      <c r="AA18" s="38">
        <v>15</v>
      </c>
      <c r="AB18" s="37">
        <f>(((SUM(Q18,S18,U18,W18,Y18,AA18)))/SUM(P18,R18,T18,V18,X18,Z18))</f>
        <v>0.10411311053984576</v>
      </c>
    </row>
    <row r="19" spans="1:28" x14ac:dyDescent="0.35">
      <c r="A19" s="19" t="s">
        <v>7</v>
      </c>
      <c r="B19" s="19" t="s">
        <v>27</v>
      </c>
      <c r="C19" s="39">
        <v>180</v>
      </c>
      <c r="D19" s="38">
        <v>18</v>
      </c>
      <c r="E19" s="39">
        <v>93</v>
      </c>
      <c r="F19" s="38">
        <v>9</v>
      </c>
      <c r="G19" s="39">
        <v>90</v>
      </c>
      <c r="H19" s="38">
        <v>6</v>
      </c>
      <c r="I19" s="39">
        <v>120</v>
      </c>
      <c r="J19" s="38">
        <v>12</v>
      </c>
      <c r="K19" s="39">
        <v>132</v>
      </c>
      <c r="L19" s="38">
        <v>13</v>
      </c>
      <c r="M19" s="39">
        <v>97</v>
      </c>
      <c r="N19" s="38">
        <v>15</v>
      </c>
      <c r="O19" s="37">
        <f>(((SUM(D19,F19,H19,J19,L19,N19)))/SUM(C19,E19,G19,I19,K19,M19))</f>
        <v>0.10252808988764045</v>
      </c>
      <c r="P19" s="39">
        <v>200</v>
      </c>
      <c r="Q19" s="38">
        <v>22</v>
      </c>
      <c r="R19" s="39">
        <v>106</v>
      </c>
      <c r="S19" s="38">
        <v>6</v>
      </c>
      <c r="T19" s="39">
        <v>98</v>
      </c>
      <c r="U19" s="38">
        <v>8</v>
      </c>
      <c r="V19" s="39">
        <v>116</v>
      </c>
      <c r="W19" s="38">
        <v>9</v>
      </c>
      <c r="X19" s="39">
        <v>99</v>
      </c>
      <c r="Y19" s="38">
        <v>6</v>
      </c>
      <c r="Z19" s="39">
        <v>108</v>
      </c>
      <c r="AA19" s="38">
        <v>8</v>
      </c>
      <c r="AB19" s="37">
        <f>(((SUM(Q19,S19,U19,W19,Y19,AA19)))/SUM(P19,R19,T19,V19,X19,Z19))</f>
        <v>8.11554332874828E-2</v>
      </c>
    </row>
    <row r="20" spans="1:28" x14ac:dyDescent="0.35">
      <c r="A20" s="19" t="s">
        <v>7</v>
      </c>
      <c r="B20" s="19" t="s">
        <v>28</v>
      </c>
      <c r="C20" s="39">
        <v>138</v>
      </c>
      <c r="D20" s="38">
        <v>15</v>
      </c>
      <c r="E20" s="39">
        <v>153</v>
      </c>
      <c r="F20" s="38">
        <v>21</v>
      </c>
      <c r="G20" s="39">
        <v>156</v>
      </c>
      <c r="H20" s="38">
        <v>22</v>
      </c>
      <c r="I20" s="39">
        <v>138</v>
      </c>
      <c r="J20" s="38">
        <v>20</v>
      </c>
      <c r="K20" s="39">
        <v>118</v>
      </c>
      <c r="L20" s="38">
        <v>16</v>
      </c>
      <c r="M20" s="39">
        <v>146</v>
      </c>
      <c r="N20" s="38">
        <v>31</v>
      </c>
      <c r="O20" s="37">
        <f>(((SUM(D20,F20,H20,J20,L20,N20)))/SUM(C20,E20,G20,I20,K20,M20))</f>
        <v>0.14723203769140164</v>
      </c>
      <c r="P20" s="39">
        <v>163</v>
      </c>
      <c r="Q20" s="38">
        <v>21</v>
      </c>
      <c r="R20" s="39">
        <v>118</v>
      </c>
      <c r="S20" s="38">
        <v>17</v>
      </c>
      <c r="T20" s="39">
        <v>171</v>
      </c>
      <c r="U20" s="38">
        <v>22</v>
      </c>
      <c r="V20" s="39">
        <v>181</v>
      </c>
      <c r="W20" s="38">
        <v>44</v>
      </c>
      <c r="X20" s="39">
        <v>176</v>
      </c>
      <c r="Y20" s="38">
        <v>31</v>
      </c>
      <c r="Z20" s="39">
        <v>170</v>
      </c>
      <c r="AA20" s="38">
        <v>17</v>
      </c>
      <c r="AB20" s="37">
        <f>(((SUM(Q20,S20,U20,W20,Y20,AA20)))/SUM(P20,R20,T20,V20,X20,Z20))</f>
        <v>0.15526046986721145</v>
      </c>
    </row>
    <row r="21" spans="1:28" x14ac:dyDescent="0.35">
      <c r="A21" s="19" t="s">
        <v>7</v>
      </c>
      <c r="B21" s="19" t="s">
        <v>29</v>
      </c>
      <c r="C21" s="39">
        <v>142</v>
      </c>
      <c r="D21" s="38">
        <v>27</v>
      </c>
      <c r="E21" s="39">
        <v>137</v>
      </c>
      <c r="F21" s="38">
        <v>24</v>
      </c>
      <c r="G21" s="39">
        <v>151</v>
      </c>
      <c r="H21" s="38">
        <v>26</v>
      </c>
      <c r="I21" s="39">
        <v>181</v>
      </c>
      <c r="J21" s="38">
        <v>28</v>
      </c>
      <c r="K21" s="39">
        <v>153</v>
      </c>
      <c r="L21" s="38">
        <v>20</v>
      </c>
      <c r="M21" s="39">
        <v>164</v>
      </c>
      <c r="N21" s="38">
        <v>34</v>
      </c>
      <c r="O21" s="37">
        <f>(((SUM(D21,F21,H21,J21,L21,N21)))/SUM(C21,E21,G21,I21,K21,M21))</f>
        <v>0.17133620689655171</v>
      </c>
      <c r="P21" s="39">
        <v>115</v>
      </c>
      <c r="Q21" s="38">
        <v>13</v>
      </c>
      <c r="R21" s="39">
        <v>135</v>
      </c>
      <c r="S21" s="38">
        <v>21</v>
      </c>
      <c r="T21" s="39">
        <v>117</v>
      </c>
      <c r="U21" s="38">
        <v>16</v>
      </c>
      <c r="V21" s="39">
        <v>134</v>
      </c>
      <c r="W21" s="38">
        <v>20</v>
      </c>
      <c r="X21" s="39">
        <v>132</v>
      </c>
      <c r="Y21" s="38">
        <v>20</v>
      </c>
      <c r="Z21" s="39">
        <v>107</v>
      </c>
      <c r="AA21" s="38">
        <v>10</v>
      </c>
      <c r="AB21" s="37">
        <f>(((SUM(Q21,S21,U21,W21,Y21,AA21)))/SUM(P21,R21,T21,V21,X21,Z21))</f>
        <v>0.13513513513513514</v>
      </c>
    </row>
    <row r="22" spans="1:28" x14ac:dyDescent="0.35">
      <c r="A22" s="19" t="s">
        <v>7</v>
      </c>
      <c r="B22" s="19" t="s">
        <v>30</v>
      </c>
      <c r="C22" s="39">
        <v>147</v>
      </c>
      <c r="D22" s="38">
        <v>9</v>
      </c>
      <c r="E22" s="39">
        <v>136</v>
      </c>
      <c r="F22" s="38">
        <v>13</v>
      </c>
      <c r="G22" s="39">
        <v>109</v>
      </c>
      <c r="H22" s="38">
        <v>8</v>
      </c>
      <c r="I22" s="39">
        <v>136</v>
      </c>
      <c r="J22" s="38">
        <v>13</v>
      </c>
      <c r="K22" s="39">
        <v>125</v>
      </c>
      <c r="L22" s="38">
        <v>14</v>
      </c>
      <c r="M22" s="39">
        <v>126</v>
      </c>
      <c r="N22" s="38">
        <v>12</v>
      </c>
      <c r="O22" s="37">
        <f>(((SUM(D22,F22,H22,J22,L22,N22)))/SUM(C22,E22,G22,I22,K22,M22))</f>
        <v>8.8575096277278567E-2</v>
      </c>
      <c r="P22" s="39">
        <v>90</v>
      </c>
      <c r="Q22" s="38">
        <v>6</v>
      </c>
      <c r="R22" s="39">
        <v>103</v>
      </c>
      <c r="S22" s="38">
        <v>5</v>
      </c>
      <c r="T22" s="39">
        <v>127</v>
      </c>
      <c r="U22" s="38">
        <v>12</v>
      </c>
      <c r="V22" s="39">
        <v>127</v>
      </c>
      <c r="W22" s="38">
        <v>19</v>
      </c>
      <c r="X22" s="39">
        <v>115</v>
      </c>
      <c r="Y22" s="38">
        <v>12</v>
      </c>
      <c r="Z22" s="39">
        <v>114</v>
      </c>
      <c r="AA22" s="38">
        <v>13</v>
      </c>
      <c r="AB22" s="37">
        <f>(((SUM(Q22,S22,U22,W22,Y22,AA22)))/SUM(P22,R22,T22,V22,X22,Z22))</f>
        <v>9.9112426035502965E-2</v>
      </c>
    </row>
    <row r="23" spans="1:28" x14ac:dyDescent="0.35">
      <c r="A23" s="19" t="s">
        <v>8</v>
      </c>
      <c r="B23" s="19" t="s">
        <v>31</v>
      </c>
      <c r="C23" s="39">
        <v>48</v>
      </c>
      <c r="D23" s="38">
        <v>4</v>
      </c>
      <c r="E23" s="39">
        <v>25</v>
      </c>
      <c r="F23" s="38">
        <v>2</v>
      </c>
      <c r="G23" s="39">
        <v>59</v>
      </c>
      <c r="H23" s="38">
        <v>2</v>
      </c>
      <c r="I23" s="39">
        <v>52</v>
      </c>
      <c r="J23" s="38">
        <v>3</v>
      </c>
      <c r="K23" s="39">
        <v>64</v>
      </c>
      <c r="L23" s="38">
        <v>6</v>
      </c>
      <c r="M23" s="39">
        <v>65</v>
      </c>
      <c r="N23" s="38">
        <v>3</v>
      </c>
      <c r="O23" s="37">
        <f>(((SUM(D23,F23,H23,J23,L23,N23)))/SUM(C23,E23,G23,I23,K23,M23))</f>
        <v>6.3897763578274758E-2</v>
      </c>
      <c r="P23" s="39">
        <v>62</v>
      </c>
      <c r="Q23" s="38">
        <v>7</v>
      </c>
      <c r="R23" s="39">
        <v>29</v>
      </c>
      <c r="S23" s="38">
        <v>2</v>
      </c>
      <c r="T23" s="39">
        <v>47</v>
      </c>
      <c r="U23" s="38">
        <v>5</v>
      </c>
      <c r="V23" s="39">
        <v>60</v>
      </c>
      <c r="W23" s="38">
        <v>4</v>
      </c>
      <c r="X23" s="39">
        <v>56</v>
      </c>
      <c r="Y23" s="38">
        <v>6</v>
      </c>
      <c r="Z23" s="39">
        <v>52</v>
      </c>
      <c r="AA23" s="38">
        <v>4</v>
      </c>
      <c r="AB23" s="37">
        <f>(((SUM(Q23,S23,U23,W23,Y23,AA23)))/SUM(P23,R23,T23,V23,X23,Z23))</f>
        <v>9.1503267973856203E-2</v>
      </c>
    </row>
    <row r="24" spans="1:28" x14ac:dyDescent="0.35">
      <c r="A24" s="19" t="s">
        <v>8</v>
      </c>
      <c r="B24" s="19" t="s">
        <v>32</v>
      </c>
      <c r="C24" s="39">
        <v>54</v>
      </c>
      <c r="D24" s="38">
        <v>3</v>
      </c>
      <c r="E24" s="39">
        <v>52</v>
      </c>
      <c r="F24" s="38">
        <v>3</v>
      </c>
      <c r="G24" s="39">
        <v>63</v>
      </c>
      <c r="H24" s="38">
        <v>8</v>
      </c>
      <c r="I24" s="39">
        <v>71</v>
      </c>
      <c r="J24" s="38">
        <v>4</v>
      </c>
      <c r="K24" s="39">
        <v>61</v>
      </c>
      <c r="L24" s="38">
        <v>7</v>
      </c>
      <c r="M24" s="39">
        <v>91</v>
      </c>
      <c r="N24" s="38">
        <v>7</v>
      </c>
      <c r="O24" s="37">
        <f>(((SUM(D24,F24,H24,J24,L24,N24)))/SUM(C24,E24,G24,I24,K24,M24))</f>
        <v>8.1632653061224483E-2</v>
      </c>
      <c r="P24" s="39">
        <v>36</v>
      </c>
      <c r="Q24" s="38">
        <v>2</v>
      </c>
      <c r="R24" s="39">
        <v>54</v>
      </c>
      <c r="S24" s="38">
        <v>7</v>
      </c>
      <c r="T24" s="39">
        <v>56</v>
      </c>
      <c r="U24" s="38">
        <v>6</v>
      </c>
      <c r="V24" s="39">
        <v>68</v>
      </c>
      <c r="W24" s="38">
        <v>5</v>
      </c>
      <c r="X24" s="39">
        <v>72</v>
      </c>
      <c r="Y24" s="38">
        <v>4</v>
      </c>
      <c r="Z24" s="39">
        <v>55</v>
      </c>
      <c r="AA24" s="38">
        <v>7</v>
      </c>
      <c r="AB24" s="37">
        <f>(((SUM(Q24,S24,U24,W24,Y24,AA24)))/SUM(P24,R24,T24,V24,X24,Z24))</f>
        <v>9.0909090909090912E-2</v>
      </c>
    </row>
    <row r="25" spans="1:28" x14ac:dyDescent="0.35">
      <c r="A25" s="19" t="s">
        <v>8</v>
      </c>
      <c r="B25" s="19" t="s">
        <v>33</v>
      </c>
      <c r="C25" s="39">
        <v>106</v>
      </c>
      <c r="D25" s="38">
        <v>5</v>
      </c>
      <c r="E25" s="39">
        <v>88</v>
      </c>
      <c r="F25" s="38">
        <v>9</v>
      </c>
      <c r="G25" s="39">
        <v>91</v>
      </c>
      <c r="H25" s="38">
        <v>11</v>
      </c>
      <c r="I25" s="39">
        <v>91</v>
      </c>
      <c r="J25" s="38">
        <v>7</v>
      </c>
      <c r="K25" s="39">
        <v>91</v>
      </c>
      <c r="L25" s="38">
        <v>8</v>
      </c>
      <c r="M25" s="39">
        <v>113</v>
      </c>
      <c r="N25" s="38">
        <v>12</v>
      </c>
      <c r="O25" s="37">
        <f>(((SUM(D25,F25,H25,J25,L25,N25)))/SUM(C25,E25,G25,I25,K25,M25))</f>
        <v>8.9655172413793102E-2</v>
      </c>
      <c r="P25" s="39">
        <v>96</v>
      </c>
      <c r="Q25" s="38">
        <v>7</v>
      </c>
      <c r="R25" s="39">
        <v>113</v>
      </c>
      <c r="S25" s="38">
        <v>7</v>
      </c>
      <c r="T25" s="39">
        <v>99</v>
      </c>
      <c r="U25" s="38">
        <v>14</v>
      </c>
      <c r="V25" s="39">
        <v>167</v>
      </c>
      <c r="W25" s="38">
        <v>15</v>
      </c>
      <c r="X25" s="39">
        <v>133</v>
      </c>
      <c r="Y25" s="38">
        <v>13</v>
      </c>
      <c r="Z25" s="39">
        <v>122</v>
      </c>
      <c r="AA25" s="38">
        <v>8</v>
      </c>
      <c r="AB25" s="37">
        <f>(((SUM(Q25,S25,U25,W25,Y25,AA25)))/SUM(P25,R25,T25,V25,X25,Z25))</f>
        <v>8.7671232876712329E-2</v>
      </c>
    </row>
    <row r="26" spans="1:28" x14ac:dyDescent="0.35">
      <c r="A26" s="19" t="s">
        <v>8</v>
      </c>
      <c r="B26" s="19" t="s">
        <v>34</v>
      </c>
      <c r="C26" s="39">
        <v>57</v>
      </c>
      <c r="D26" s="38">
        <v>1</v>
      </c>
      <c r="E26" s="39">
        <v>53</v>
      </c>
      <c r="F26" s="38">
        <v>4</v>
      </c>
      <c r="G26" s="39">
        <v>42</v>
      </c>
      <c r="H26" s="38">
        <v>2</v>
      </c>
      <c r="I26" s="39">
        <v>47</v>
      </c>
      <c r="J26" s="38">
        <v>2</v>
      </c>
      <c r="K26" s="39">
        <v>37</v>
      </c>
      <c r="L26" s="38">
        <v>1</v>
      </c>
      <c r="M26" s="39">
        <v>72</v>
      </c>
      <c r="N26" s="38">
        <v>11</v>
      </c>
      <c r="O26" s="37">
        <f>(((SUM(D26,F26,H26,J26,L26,N26)))/SUM(C26,E26,G26,I26,K26,M26))</f>
        <v>6.8181818181818177E-2</v>
      </c>
      <c r="P26" s="39">
        <v>34</v>
      </c>
      <c r="Q26" s="38">
        <v>1</v>
      </c>
      <c r="R26" s="39">
        <v>35</v>
      </c>
      <c r="S26" s="38">
        <v>1</v>
      </c>
      <c r="T26" s="39">
        <v>42</v>
      </c>
      <c r="U26" s="38">
        <v>3</v>
      </c>
      <c r="V26" s="39">
        <v>45</v>
      </c>
      <c r="W26" s="38">
        <v>3</v>
      </c>
      <c r="X26" s="39">
        <v>44</v>
      </c>
      <c r="Y26" s="38">
        <v>1</v>
      </c>
      <c r="Z26" s="39">
        <v>77</v>
      </c>
      <c r="AA26" s="38">
        <v>5</v>
      </c>
      <c r="AB26" s="37">
        <f>(((SUM(Q26,S26,U26,W26,Y26,AA26)))/SUM(P26,R26,T26,V26,X26,Z26))</f>
        <v>5.0541516245487361E-2</v>
      </c>
    </row>
    <row r="27" spans="1:28" x14ac:dyDescent="0.35">
      <c r="A27" s="19" t="s">
        <v>8</v>
      </c>
      <c r="B27" s="19" t="s">
        <v>35</v>
      </c>
      <c r="C27" s="39">
        <v>87</v>
      </c>
      <c r="D27" s="38">
        <v>9</v>
      </c>
      <c r="E27" s="39">
        <v>30</v>
      </c>
      <c r="F27" s="38">
        <v>2</v>
      </c>
      <c r="G27" s="39">
        <v>73</v>
      </c>
      <c r="H27" s="38">
        <v>3</v>
      </c>
      <c r="I27" s="39">
        <v>94</v>
      </c>
      <c r="J27" s="38">
        <v>10</v>
      </c>
      <c r="K27" s="39">
        <v>68</v>
      </c>
      <c r="L27" s="38">
        <v>11</v>
      </c>
      <c r="M27" s="39">
        <v>71</v>
      </c>
      <c r="N27" s="38">
        <v>9</v>
      </c>
      <c r="O27" s="37">
        <f>(((SUM(D27,F27,H27,J27,L27,N27)))/SUM(C27,E27,G27,I27,K27,M27))</f>
        <v>0.10401891252955082</v>
      </c>
      <c r="P27" s="39">
        <v>64</v>
      </c>
      <c r="Q27" s="38">
        <v>7</v>
      </c>
      <c r="R27" s="39">
        <v>74</v>
      </c>
      <c r="S27" s="38">
        <v>8</v>
      </c>
      <c r="T27" s="39">
        <v>68</v>
      </c>
      <c r="U27" s="38">
        <v>4</v>
      </c>
      <c r="V27" s="39">
        <v>93</v>
      </c>
      <c r="W27" s="38">
        <v>8</v>
      </c>
      <c r="X27" s="39">
        <v>111</v>
      </c>
      <c r="Y27" s="38">
        <v>16</v>
      </c>
      <c r="Z27" s="39">
        <v>93</v>
      </c>
      <c r="AA27" s="38">
        <v>8</v>
      </c>
      <c r="AB27" s="37">
        <f>(((SUM(Q27,S27,U27,W27,Y27,AA27)))/SUM(P27,R27,T27,V27,X27,Z27))</f>
        <v>0.10139165009940358</v>
      </c>
    </row>
    <row r="28" spans="1:28" x14ac:dyDescent="0.35">
      <c r="A28" s="19" t="s">
        <v>8</v>
      </c>
      <c r="B28" s="19" t="s">
        <v>36</v>
      </c>
      <c r="C28" s="39">
        <v>144</v>
      </c>
      <c r="D28" s="38">
        <v>10</v>
      </c>
      <c r="E28" s="39">
        <v>158</v>
      </c>
      <c r="F28" s="38">
        <v>13</v>
      </c>
      <c r="G28" s="39">
        <v>177</v>
      </c>
      <c r="H28" s="38">
        <v>12</v>
      </c>
      <c r="I28" s="39">
        <v>168</v>
      </c>
      <c r="J28" s="38">
        <v>10</v>
      </c>
      <c r="K28" s="39">
        <v>138</v>
      </c>
      <c r="L28" s="38">
        <v>18</v>
      </c>
      <c r="M28" s="39">
        <v>190</v>
      </c>
      <c r="N28" s="38">
        <v>9</v>
      </c>
      <c r="O28" s="37">
        <f>(((SUM(D28,F28,H28,J28,L28,N28)))/SUM(C28,E28,G28,I28,K28,M28))</f>
        <v>7.3846153846153853E-2</v>
      </c>
      <c r="P28" s="39">
        <v>159</v>
      </c>
      <c r="Q28" s="38">
        <v>14</v>
      </c>
      <c r="R28" s="39">
        <v>159</v>
      </c>
      <c r="S28" s="38">
        <v>12</v>
      </c>
      <c r="T28" s="39">
        <v>128</v>
      </c>
      <c r="U28" s="38">
        <v>8</v>
      </c>
      <c r="V28" s="39">
        <v>162</v>
      </c>
      <c r="W28" s="38">
        <v>19</v>
      </c>
      <c r="X28" s="39">
        <v>175</v>
      </c>
      <c r="Y28" s="38">
        <v>10</v>
      </c>
      <c r="Z28" s="39">
        <v>147</v>
      </c>
      <c r="AA28" s="38">
        <v>12</v>
      </c>
      <c r="AB28" s="37">
        <f>(((SUM(Q28,S28,U28,W28,Y28,AA28)))/SUM(P28,R28,T28,V28,X28,Z28))</f>
        <v>8.0645161290322578E-2</v>
      </c>
    </row>
    <row r="29" spans="1:28" x14ac:dyDescent="0.35">
      <c r="A29" s="19" t="s">
        <v>8</v>
      </c>
      <c r="B29" s="19" t="s">
        <v>37</v>
      </c>
      <c r="C29" s="39">
        <v>169</v>
      </c>
      <c r="D29" s="38">
        <v>9</v>
      </c>
      <c r="E29" s="39">
        <v>174</v>
      </c>
      <c r="F29" s="38">
        <v>8</v>
      </c>
      <c r="G29" s="39">
        <v>162</v>
      </c>
      <c r="H29" s="38">
        <v>10</v>
      </c>
      <c r="I29" s="39">
        <v>146</v>
      </c>
      <c r="J29" s="38">
        <v>14</v>
      </c>
      <c r="K29" s="39">
        <v>191</v>
      </c>
      <c r="L29" s="38">
        <v>13</v>
      </c>
      <c r="M29" s="39">
        <v>190</v>
      </c>
      <c r="N29" s="38">
        <v>10</v>
      </c>
      <c r="O29" s="37">
        <f>(((SUM(D29,F29,H29,J29,L29,N29)))/SUM(A29,E29,G29,I29,K29,M29))</f>
        <v>7.4159907300115874E-2</v>
      </c>
      <c r="P29" s="39">
        <v>238</v>
      </c>
      <c r="Q29" s="38">
        <v>17</v>
      </c>
      <c r="R29" s="39">
        <v>169</v>
      </c>
      <c r="S29" s="38">
        <v>6</v>
      </c>
      <c r="T29" s="39">
        <v>102</v>
      </c>
      <c r="U29" s="38">
        <v>5</v>
      </c>
      <c r="V29" s="39">
        <v>153</v>
      </c>
      <c r="W29" s="38">
        <v>11</v>
      </c>
      <c r="X29" s="39">
        <v>133</v>
      </c>
      <c r="Y29" s="38">
        <v>10</v>
      </c>
      <c r="Z29" s="39">
        <v>150</v>
      </c>
      <c r="AA29" s="38">
        <v>15</v>
      </c>
      <c r="AB29" s="37">
        <f>(((SUM(Q29,S29,U29,W29,Y29,AA29)))/SUM(P29,R29,T29,V29,X29,Z29))</f>
        <v>6.7724867724867729E-2</v>
      </c>
    </row>
    <row r="30" spans="1:28" x14ac:dyDescent="0.35">
      <c r="A30" s="19" t="s">
        <v>8</v>
      </c>
      <c r="B30" s="19" t="s">
        <v>38</v>
      </c>
      <c r="C30" s="39">
        <v>57</v>
      </c>
      <c r="D30" s="38">
        <v>3</v>
      </c>
      <c r="E30" s="39">
        <v>116</v>
      </c>
      <c r="F30" s="38">
        <v>7</v>
      </c>
      <c r="G30" s="39">
        <v>116</v>
      </c>
      <c r="H30" s="38">
        <v>10</v>
      </c>
      <c r="I30" s="39">
        <v>130</v>
      </c>
      <c r="J30" s="38">
        <v>14</v>
      </c>
      <c r="K30" s="39">
        <v>125</v>
      </c>
      <c r="L30" s="38">
        <v>9</v>
      </c>
      <c r="M30" s="39">
        <v>121</v>
      </c>
      <c r="N30" s="38">
        <v>9</v>
      </c>
      <c r="O30" s="37">
        <f>(((SUM(D30,F30,H30,J30,L30,N30)))/SUM(A30,E30,G30,I30,K30,M30))</f>
        <v>8.5526315789473686E-2</v>
      </c>
      <c r="P30" s="39">
        <v>116</v>
      </c>
      <c r="Q30" s="38">
        <v>10</v>
      </c>
      <c r="R30" s="39">
        <v>81</v>
      </c>
      <c r="S30" s="38">
        <v>7</v>
      </c>
      <c r="T30" s="39">
        <v>109</v>
      </c>
      <c r="U30" s="38">
        <v>6</v>
      </c>
      <c r="V30" s="39">
        <v>115</v>
      </c>
      <c r="W30" s="38">
        <v>9</v>
      </c>
      <c r="X30" s="39">
        <v>120</v>
      </c>
      <c r="Y30" s="38">
        <v>8</v>
      </c>
      <c r="Z30" s="39">
        <v>107</v>
      </c>
      <c r="AA30" s="38">
        <v>9</v>
      </c>
      <c r="AB30" s="37">
        <f>(((SUM(Q30,S30,U30,W30,Y30,AA30)))/SUM(P30,R30,T30,V30,X30,Z30))</f>
        <v>7.5617283950617287E-2</v>
      </c>
    </row>
  </sheetData>
  <mergeCells count="2">
    <mergeCell ref="C1:O1"/>
    <mergeCell ref="P1:A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DB87-7FE0-4232-96F5-CCC0A5ACAD47}">
  <dimension ref="A1:Q30"/>
  <sheetViews>
    <sheetView tabSelected="1" workbookViewId="0">
      <selection activeCell="L9" sqref="L9"/>
    </sheetView>
  </sheetViews>
  <sheetFormatPr defaultRowHeight="14.5" x14ac:dyDescent="0.35"/>
  <sheetData>
    <row r="1" spans="1:17" x14ac:dyDescent="0.35">
      <c r="A1" s="50" t="s">
        <v>3</v>
      </c>
      <c r="B1" s="50" t="s">
        <v>10</v>
      </c>
      <c r="C1" s="47" t="s">
        <v>68</v>
      </c>
      <c r="D1" s="47"/>
      <c r="E1" s="47"/>
      <c r="F1" s="47"/>
      <c r="G1" s="47"/>
      <c r="H1" s="47"/>
      <c r="I1" s="47"/>
      <c r="J1" s="47" t="s">
        <v>67</v>
      </c>
      <c r="K1" s="47"/>
      <c r="L1" s="47"/>
      <c r="M1" s="47"/>
      <c r="N1" s="47"/>
      <c r="O1" s="47"/>
      <c r="P1" s="47"/>
      <c r="Q1" s="44" t="s">
        <v>71</v>
      </c>
    </row>
    <row r="2" spans="1:17" x14ac:dyDescent="0.35">
      <c r="A2" s="49"/>
      <c r="B2" s="49"/>
      <c r="C2" s="44">
        <v>1</v>
      </c>
      <c r="D2" s="44">
        <v>2</v>
      </c>
      <c r="E2" s="44">
        <v>3</v>
      </c>
      <c r="F2" s="44">
        <v>4</v>
      </c>
      <c r="G2" s="44">
        <v>5</v>
      </c>
      <c r="H2" s="44">
        <v>6</v>
      </c>
      <c r="I2" s="44" t="s">
        <v>70</v>
      </c>
      <c r="J2" s="44">
        <v>1</v>
      </c>
      <c r="K2" s="44">
        <v>2</v>
      </c>
      <c r="L2" s="44">
        <v>3</v>
      </c>
      <c r="M2" s="44">
        <v>4</v>
      </c>
      <c r="N2" s="44">
        <v>5</v>
      </c>
      <c r="O2" s="44">
        <v>6</v>
      </c>
      <c r="P2" s="44" t="s">
        <v>70</v>
      </c>
      <c r="Q2" s="44" t="s">
        <v>69</v>
      </c>
    </row>
    <row r="3" spans="1:17" x14ac:dyDescent="0.35">
      <c r="A3" s="19" t="s">
        <v>5</v>
      </c>
      <c r="B3" s="19" t="s">
        <v>11</v>
      </c>
      <c r="C3" s="39">
        <v>66</v>
      </c>
      <c r="D3" s="39">
        <v>45</v>
      </c>
      <c r="E3" s="39">
        <v>24</v>
      </c>
      <c r="F3" s="39">
        <v>12</v>
      </c>
      <c r="G3" s="39">
        <v>25</v>
      </c>
      <c r="H3" s="39">
        <v>33</v>
      </c>
      <c r="I3" s="39">
        <f>SUM(C3:H3)</f>
        <v>205</v>
      </c>
      <c r="J3" s="39">
        <v>35</v>
      </c>
      <c r="K3" s="39">
        <v>13</v>
      </c>
      <c r="L3" s="39">
        <v>25</v>
      </c>
      <c r="M3" s="39">
        <v>13</v>
      </c>
      <c r="N3" s="39">
        <v>17</v>
      </c>
      <c r="O3" s="39">
        <v>29</v>
      </c>
      <c r="P3" s="3">
        <f>SUM(J3:O3)</f>
        <v>132</v>
      </c>
      <c r="Q3" s="3">
        <v>5</v>
      </c>
    </row>
    <row r="4" spans="1:17" x14ac:dyDescent="0.35">
      <c r="A4" s="19" t="s">
        <v>5</v>
      </c>
      <c r="B4" s="19" t="s">
        <v>12</v>
      </c>
      <c r="C4" s="39">
        <v>30</v>
      </c>
      <c r="D4" s="39">
        <v>32</v>
      </c>
      <c r="E4" s="39">
        <v>17</v>
      </c>
      <c r="F4" s="39">
        <v>23</v>
      </c>
      <c r="G4" s="39">
        <v>45</v>
      </c>
      <c r="H4" s="39">
        <v>31</v>
      </c>
      <c r="I4" s="39">
        <f>SUM(C4:H4)</f>
        <v>178</v>
      </c>
      <c r="J4" s="39">
        <v>48</v>
      </c>
      <c r="K4" s="39">
        <v>38</v>
      </c>
      <c r="L4" s="39">
        <v>30</v>
      </c>
      <c r="M4" s="39">
        <v>25</v>
      </c>
      <c r="N4" s="39">
        <v>32</v>
      </c>
      <c r="O4" s="39">
        <v>35</v>
      </c>
      <c r="P4" s="3">
        <f>SUM(J4:O4)</f>
        <v>208</v>
      </c>
      <c r="Q4" s="3">
        <v>5</v>
      </c>
    </row>
    <row r="5" spans="1:17" x14ac:dyDescent="0.35">
      <c r="A5" s="19" t="s">
        <v>5</v>
      </c>
      <c r="B5" s="19" t="s">
        <v>13</v>
      </c>
      <c r="C5" s="39">
        <v>18</v>
      </c>
      <c r="D5" s="39">
        <v>25</v>
      </c>
      <c r="E5" s="39">
        <v>9</v>
      </c>
      <c r="F5" s="39">
        <v>7</v>
      </c>
      <c r="G5" s="39">
        <v>7</v>
      </c>
      <c r="H5" s="39">
        <v>26</v>
      </c>
      <c r="I5" s="39">
        <f>SUM(C5:H5)</f>
        <v>92</v>
      </c>
      <c r="J5" s="39">
        <v>20</v>
      </c>
      <c r="K5" s="39">
        <v>31</v>
      </c>
      <c r="L5" s="39">
        <v>11</v>
      </c>
      <c r="M5" s="39">
        <v>16</v>
      </c>
      <c r="N5" s="39">
        <v>10</v>
      </c>
      <c r="O5" s="39">
        <v>41</v>
      </c>
      <c r="P5" s="3">
        <f>SUM(J5:O5)</f>
        <v>129</v>
      </c>
      <c r="Q5" s="3">
        <v>5</v>
      </c>
    </row>
    <row r="6" spans="1:17" x14ac:dyDescent="0.35">
      <c r="A6" s="19" t="s">
        <v>5</v>
      </c>
      <c r="B6" s="19" t="s">
        <v>14</v>
      </c>
      <c r="C6" s="39">
        <v>23</v>
      </c>
      <c r="D6" s="39">
        <v>58</v>
      </c>
      <c r="E6" s="39">
        <v>9</v>
      </c>
      <c r="F6" s="39">
        <v>5</v>
      </c>
      <c r="G6" s="39">
        <v>16</v>
      </c>
      <c r="H6" s="39">
        <v>8</v>
      </c>
      <c r="I6" s="39">
        <f>SUM(C6:H6)</f>
        <v>119</v>
      </c>
      <c r="J6" s="39">
        <v>51</v>
      </c>
      <c r="K6" s="39">
        <v>42</v>
      </c>
      <c r="L6" s="39">
        <v>13</v>
      </c>
      <c r="M6" s="39">
        <v>24</v>
      </c>
      <c r="N6" s="39">
        <v>20</v>
      </c>
      <c r="O6" s="39">
        <v>21</v>
      </c>
      <c r="P6" s="3">
        <f>SUM(J6:O6)</f>
        <v>171</v>
      </c>
      <c r="Q6" s="3">
        <v>5</v>
      </c>
    </row>
    <row r="7" spans="1:17" x14ac:dyDescent="0.35">
      <c r="A7" s="19" t="s">
        <v>6</v>
      </c>
      <c r="B7" s="19" t="s">
        <v>15</v>
      </c>
      <c r="C7" s="41">
        <v>84</v>
      </c>
      <c r="D7" s="41">
        <v>75</v>
      </c>
      <c r="E7" s="39">
        <v>55</v>
      </c>
      <c r="F7" s="39">
        <v>62</v>
      </c>
      <c r="G7" s="39">
        <v>48</v>
      </c>
      <c r="H7" s="39">
        <v>60</v>
      </c>
      <c r="I7" s="39">
        <f>SUM(C7:H7)</f>
        <v>384</v>
      </c>
      <c r="J7" s="39">
        <v>101</v>
      </c>
      <c r="K7" s="39">
        <v>111</v>
      </c>
      <c r="L7" s="39">
        <v>64</v>
      </c>
      <c r="M7" s="39">
        <v>25</v>
      </c>
      <c r="N7" s="39">
        <v>64</v>
      </c>
      <c r="O7" s="39">
        <v>68</v>
      </c>
      <c r="P7" s="3">
        <f>SUM(J7:O7)</f>
        <v>433</v>
      </c>
      <c r="Q7" s="3">
        <v>5</v>
      </c>
    </row>
    <row r="8" spans="1:17" x14ac:dyDescent="0.35">
      <c r="A8" s="19" t="s">
        <v>6</v>
      </c>
      <c r="B8" s="19" t="s">
        <v>16</v>
      </c>
      <c r="C8" s="41">
        <v>56</v>
      </c>
      <c r="D8" s="41">
        <v>46</v>
      </c>
      <c r="E8" s="39">
        <v>22</v>
      </c>
      <c r="F8" s="39">
        <v>26</v>
      </c>
      <c r="G8" s="39">
        <v>36</v>
      </c>
      <c r="H8" s="39">
        <v>60</v>
      </c>
      <c r="I8" s="39">
        <f>SUM(C8:H8)</f>
        <v>246</v>
      </c>
      <c r="J8" s="39">
        <v>49</v>
      </c>
      <c r="K8" s="39">
        <v>37</v>
      </c>
      <c r="L8" s="39">
        <v>39</v>
      </c>
      <c r="M8" s="39">
        <v>14</v>
      </c>
      <c r="N8" s="39">
        <v>32</v>
      </c>
      <c r="O8" s="39">
        <v>52</v>
      </c>
      <c r="P8" s="3">
        <f>SUM(J8:O8)</f>
        <v>223</v>
      </c>
      <c r="Q8" s="3">
        <v>5</v>
      </c>
    </row>
    <row r="9" spans="1:17" x14ac:dyDescent="0.35">
      <c r="A9" s="19" t="s">
        <v>6</v>
      </c>
      <c r="B9" s="19" t="s">
        <v>17</v>
      </c>
      <c r="C9" s="41">
        <v>70</v>
      </c>
      <c r="D9" s="41">
        <v>44</v>
      </c>
      <c r="E9" s="39">
        <v>29</v>
      </c>
      <c r="F9" s="39">
        <v>30</v>
      </c>
      <c r="G9" s="39">
        <v>33</v>
      </c>
      <c r="H9" s="39">
        <v>58</v>
      </c>
      <c r="I9" s="39">
        <f>SUM(C9:H9)</f>
        <v>264</v>
      </c>
      <c r="J9" s="39">
        <v>45</v>
      </c>
      <c r="K9" s="39">
        <v>43</v>
      </c>
      <c r="L9" s="39">
        <v>77</v>
      </c>
      <c r="M9" s="39">
        <v>37</v>
      </c>
      <c r="N9" s="39">
        <v>37</v>
      </c>
      <c r="O9" s="39">
        <v>34</v>
      </c>
      <c r="P9" s="3">
        <f>SUM(J9:O9)</f>
        <v>273</v>
      </c>
      <c r="Q9" s="3">
        <v>5</v>
      </c>
    </row>
    <row r="10" spans="1:17" x14ac:dyDescent="0.35">
      <c r="A10" s="19" t="s">
        <v>6</v>
      </c>
      <c r="B10" s="19" t="s">
        <v>18</v>
      </c>
      <c r="C10" s="39">
        <v>72</v>
      </c>
      <c r="D10" s="39">
        <v>82</v>
      </c>
      <c r="E10" s="39">
        <v>45</v>
      </c>
      <c r="F10" s="39">
        <v>12</v>
      </c>
      <c r="G10" s="39">
        <v>58</v>
      </c>
      <c r="H10" s="39">
        <v>46</v>
      </c>
      <c r="I10" s="39">
        <f>SUM(C10:H10)</f>
        <v>315</v>
      </c>
      <c r="J10" s="39">
        <v>64</v>
      </c>
      <c r="K10" s="39">
        <v>60</v>
      </c>
      <c r="L10" s="39">
        <v>40</v>
      </c>
      <c r="M10" s="39">
        <v>33</v>
      </c>
      <c r="N10" s="39">
        <v>54</v>
      </c>
      <c r="O10" s="39">
        <v>48</v>
      </c>
      <c r="P10" s="3">
        <f>SUM(J10:O10)</f>
        <v>299</v>
      </c>
      <c r="Q10" s="3">
        <v>5</v>
      </c>
    </row>
    <row r="11" spans="1:17" x14ac:dyDescent="0.35">
      <c r="A11" s="19" t="s">
        <v>6</v>
      </c>
      <c r="B11" s="19" t="s">
        <v>19</v>
      </c>
      <c r="C11" s="39">
        <v>31</v>
      </c>
      <c r="D11" s="39">
        <v>56</v>
      </c>
      <c r="E11" s="39">
        <v>25</v>
      </c>
      <c r="F11" s="39">
        <v>7</v>
      </c>
      <c r="G11" s="39">
        <v>43</v>
      </c>
      <c r="H11" s="39">
        <v>44</v>
      </c>
      <c r="I11" s="39">
        <f>SUM(C11:H11)</f>
        <v>206</v>
      </c>
      <c r="J11" s="39">
        <v>53</v>
      </c>
      <c r="K11" s="39">
        <v>42</v>
      </c>
      <c r="L11" s="39">
        <v>21</v>
      </c>
      <c r="M11" s="39">
        <v>7</v>
      </c>
      <c r="N11" s="39">
        <v>22</v>
      </c>
      <c r="O11" s="39">
        <v>46</v>
      </c>
      <c r="P11" s="3">
        <f>SUM(J11:O11)</f>
        <v>191</v>
      </c>
      <c r="Q11" s="3">
        <v>5</v>
      </c>
    </row>
    <row r="12" spans="1:17" x14ac:dyDescent="0.35">
      <c r="A12" s="19" t="s">
        <v>6</v>
      </c>
      <c r="B12" s="19" t="s">
        <v>20</v>
      </c>
      <c r="C12" s="3">
        <v>58</v>
      </c>
      <c r="D12" s="39">
        <v>69</v>
      </c>
      <c r="E12" s="39">
        <v>20</v>
      </c>
      <c r="F12" s="39">
        <v>20</v>
      </c>
      <c r="G12" s="39">
        <v>29</v>
      </c>
      <c r="H12" s="39">
        <v>33</v>
      </c>
      <c r="I12" s="39">
        <f>SUM(C12:H12)</f>
        <v>229</v>
      </c>
      <c r="J12" s="39">
        <v>50</v>
      </c>
      <c r="K12" s="39">
        <v>50</v>
      </c>
      <c r="L12" s="39">
        <v>32</v>
      </c>
      <c r="M12" s="39">
        <v>15</v>
      </c>
      <c r="N12" s="39">
        <v>23</v>
      </c>
      <c r="O12" s="39">
        <v>34</v>
      </c>
      <c r="P12" s="3">
        <f>SUM(J12:O12)</f>
        <v>204</v>
      </c>
      <c r="Q12" s="3">
        <v>5</v>
      </c>
    </row>
    <row r="13" spans="1:17" x14ac:dyDescent="0.35">
      <c r="A13" s="19" t="s">
        <v>6</v>
      </c>
      <c r="B13" s="19" t="s">
        <v>21</v>
      </c>
      <c r="C13" s="39">
        <v>52</v>
      </c>
      <c r="D13" s="39">
        <v>46</v>
      </c>
      <c r="E13" s="39">
        <v>29</v>
      </c>
      <c r="F13" s="39">
        <v>22</v>
      </c>
      <c r="G13" s="39">
        <v>47</v>
      </c>
      <c r="H13" s="39">
        <v>40</v>
      </c>
      <c r="I13" s="39">
        <f>SUM(C13:H13)</f>
        <v>236</v>
      </c>
      <c r="J13" s="39">
        <v>91</v>
      </c>
      <c r="K13" s="39">
        <v>97</v>
      </c>
      <c r="L13" s="39">
        <v>24</v>
      </c>
      <c r="M13" s="39">
        <v>15</v>
      </c>
      <c r="N13" s="39">
        <v>48</v>
      </c>
      <c r="O13" s="39">
        <v>56</v>
      </c>
      <c r="P13" s="3">
        <f>SUM(J13:O13)</f>
        <v>331</v>
      </c>
      <c r="Q13" s="3">
        <v>5</v>
      </c>
    </row>
    <row r="14" spans="1:17" x14ac:dyDescent="0.35">
      <c r="A14" s="19" t="s">
        <v>6</v>
      </c>
      <c r="B14" s="19" t="s">
        <v>22</v>
      </c>
      <c r="C14" s="39">
        <v>107</v>
      </c>
      <c r="D14" s="39">
        <v>83</v>
      </c>
      <c r="E14" s="39">
        <v>45</v>
      </c>
      <c r="F14" s="39">
        <v>30</v>
      </c>
      <c r="G14" s="39">
        <v>63</v>
      </c>
      <c r="H14" s="39">
        <v>65</v>
      </c>
      <c r="I14" s="39">
        <f>SUM(C14:H14)</f>
        <v>393</v>
      </c>
      <c r="J14" s="39">
        <v>69</v>
      </c>
      <c r="K14" s="39">
        <v>77</v>
      </c>
      <c r="L14" s="39">
        <v>35</v>
      </c>
      <c r="M14" s="39">
        <v>22</v>
      </c>
      <c r="N14" s="39">
        <v>51</v>
      </c>
      <c r="O14" s="39">
        <v>43</v>
      </c>
      <c r="P14" s="3">
        <f>SUM(J14:O14)</f>
        <v>297</v>
      </c>
      <c r="Q14" s="3">
        <v>5</v>
      </c>
    </row>
    <row r="15" spans="1:17" x14ac:dyDescent="0.35">
      <c r="A15" s="19" t="s">
        <v>7</v>
      </c>
      <c r="B15" s="19" t="s">
        <v>23</v>
      </c>
      <c r="C15" s="39">
        <v>27</v>
      </c>
      <c r="D15" s="39">
        <v>19</v>
      </c>
      <c r="E15" s="39">
        <v>9</v>
      </c>
      <c r="F15" s="39">
        <v>12</v>
      </c>
      <c r="G15" s="39">
        <v>43</v>
      </c>
      <c r="H15" s="39">
        <v>15</v>
      </c>
      <c r="I15" s="39">
        <f>SUM(C15:H15)</f>
        <v>125</v>
      </c>
      <c r="J15" s="39">
        <v>46</v>
      </c>
      <c r="K15" s="39">
        <v>35</v>
      </c>
      <c r="L15" s="39">
        <v>19</v>
      </c>
      <c r="M15" s="39">
        <v>11</v>
      </c>
      <c r="N15" s="39">
        <v>23</v>
      </c>
      <c r="O15" s="39">
        <v>21</v>
      </c>
      <c r="P15" s="3">
        <f>SUM(J15:O15)</f>
        <v>155</v>
      </c>
      <c r="Q15" s="3">
        <v>10</v>
      </c>
    </row>
    <row r="16" spans="1:17" x14ac:dyDescent="0.35">
      <c r="A16" s="19" t="s">
        <v>7</v>
      </c>
      <c r="B16" s="19" t="s">
        <v>24</v>
      </c>
      <c r="C16" s="39">
        <v>53</v>
      </c>
      <c r="D16" s="39">
        <v>76</v>
      </c>
      <c r="E16" s="39">
        <v>45</v>
      </c>
      <c r="F16" s="39">
        <v>15</v>
      </c>
      <c r="G16" s="39">
        <v>47</v>
      </c>
      <c r="H16" s="39">
        <v>44</v>
      </c>
      <c r="I16" s="39">
        <f>SUM(C16:H16)</f>
        <v>280</v>
      </c>
      <c r="J16" s="39">
        <v>71</v>
      </c>
      <c r="K16" s="39">
        <v>72</v>
      </c>
      <c r="L16" s="39">
        <v>32</v>
      </c>
      <c r="M16" s="39">
        <v>15</v>
      </c>
      <c r="N16" s="39">
        <v>35</v>
      </c>
      <c r="O16" s="39">
        <v>44</v>
      </c>
      <c r="P16" s="3">
        <f>SUM(J16:O16)</f>
        <v>269</v>
      </c>
      <c r="Q16" s="3">
        <v>10</v>
      </c>
    </row>
    <row r="17" spans="1:17" x14ac:dyDescent="0.35">
      <c r="A17" s="19" t="s">
        <v>7</v>
      </c>
      <c r="B17" s="19" t="s">
        <v>25</v>
      </c>
      <c r="C17" s="39">
        <v>66</v>
      </c>
      <c r="D17" s="39">
        <v>67</v>
      </c>
      <c r="E17" s="39">
        <v>26</v>
      </c>
      <c r="F17" s="39">
        <v>22</v>
      </c>
      <c r="G17" s="39">
        <v>44</v>
      </c>
      <c r="H17" s="39">
        <v>32</v>
      </c>
      <c r="I17" s="39">
        <f>SUM(C17:H17)</f>
        <v>257</v>
      </c>
      <c r="J17" s="39">
        <v>75</v>
      </c>
      <c r="K17" s="39">
        <v>73</v>
      </c>
      <c r="L17" s="39">
        <v>24</v>
      </c>
      <c r="M17" s="39">
        <v>30</v>
      </c>
      <c r="N17" s="39">
        <v>43</v>
      </c>
      <c r="O17" s="39">
        <v>54</v>
      </c>
      <c r="P17" s="3">
        <f>SUM(J17:O17)</f>
        <v>299</v>
      </c>
      <c r="Q17" s="3">
        <v>10</v>
      </c>
    </row>
    <row r="18" spans="1:17" x14ac:dyDescent="0.35">
      <c r="A18" s="19" t="s">
        <v>7</v>
      </c>
      <c r="B18" s="19" t="s">
        <v>26</v>
      </c>
      <c r="C18" s="39">
        <v>69</v>
      </c>
      <c r="D18" s="39">
        <v>57</v>
      </c>
      <c r="E18" s="39">
        <v>23</v>
      </c>
      <c r="F18" s="39">
        <v>14</v>
      </c>
      <c r="G18" s="39">
        <v>42</v>
      </c>
      <c r="H18" s="39">
        <v>61</v>
      </c>
      <c r="I18" s="39">
        <f>SUM(C18:H18)</f>
        <v>266</v>
      </c>
      <c r="J18" s="39">
        <v>71</v>
      </c>
      <c r="K18" s="39">
        <v>71</v>
      </c>
      <c r="L18" s="39">
        <v>35</v>
      </c>
      <c r="M18" s="39">
        <v>22</v>
      </c>
      <c r="N18" s="39">
        <v>29</v>
      </c>
      <c r="O18" s="39">
        <v>36</v>
      </c>
      <c r="P18" s="3">
        <f>SUM(J18:O18)</f>
        <v>264</v>
      </c>
      <c r="Q18" s="3">
        <v>10</v>
      </c>
    </row>
    <row r="19" spans="1:17" x14ac:dyDescent="0.35">
      <c r="A19" s="19" t="s">
        <v>7</v>
      </c>
      <c r="B19" s="19" t="s">
        <v>27</v>
      </c>
      <c r="C19" s="39">
        <v>44</v>
      </c>
      <c r="D19" s="39">
        <v>82</v>
      </c>
      <c r="E19" s="39">
        <v>27</v>
      </c>
      <c r="F19" s="39">
        <v>23</v>
      </c>
      <c r="G19" s="39">
        <v>38</v>
      </c>
      <c r="H19" s="39">
        <v>44</v>
      </c>
      <c r="I19" s="39">
        <f>SUM(C19:H19)</f>
        <v>258</v>
      </c>
      <c r="J19" s="39">
        <v>66</v>
      </c>
      <c r="K19" s="39">
        <v>73</v>
      </c>
      <c r="L19" s="39">
        <v>38</v>
      </c>
      <c r="M19" s="39">
        <v>26</v>
      </c>
      <c r="N19" s="39">
        <v>37</v>
      </c>
      <c r="O19" s="39">
        <v>40</v>
      </c>
      <c r="P19" s="3">
        <f>SUM(J19:O19)</f>
        <v>280</v>
      </c>
      <c r="Q19" s="3">
        <v>10</v>
      </c>
    </row>
    <row r="20" spans="1:17" x14ac:dyDescent="0.35">
      <c r="A20" s="19" t="s">
        <v>7</v>
      </c>
      <c r="B20" s="19" t="s">
        <v>28</v>
      </c>
      <c r="C20" s="39">
        <v>38</v>
      </c>
      <c r="D20" s="39">
        <v>32</v>
      </c>
      <c r="E20" s="39">
        <v>12</v>
      </c>
      <c r="F20" s="39">
        <v>8</v>
      </c>
      <c r="G20" s="39">
        <v>20</v>
      </c>
      <c r="H20" s="39">
        <v>24</v>
      </c>
      <c r="I20" s="39">
        <f>SUM(C20:H20)</f>
        <v>134</v>
      </c>
      <c r="J20" s="39">
        <v>39</v>
      </c>
      <c r="K20" s="39">
        <v>44</v>
      </c>
      <c r="L20" s="39">
        <v>26</v>
      </c>
      <c r="M20" s="39">
        <v>8</v>
      </c>
      <c r="N20" s="39">
        <v>15</v>
      </c>
      <c r="O20" s="39">
        <v>25</v>
      </c>
      <c r="P20" s="3">
        <f>SUM(J20:O20)</f>
        <v>157</v>
      </c>
      <c r="Q20" s="3">
        <v>10</v>
      </c>
    </row>
    <row r="21" spans="1:17" x14ac:dyDescent="0.35">
      <c r="A21" s="19" t="s">
        <v>7</v>
      </c>
      <c r="B21" s="19" t="s">
        <v>29</v>
      </c>
      <c r="C21" s="39">
        <v>83</v>
      </c>
      <c r="D21" s="39">
        <v>91</v>
      </c>
      <c r="E21" s="39">
        <v>37</v>
      </c>
      <c r="F21" s="39">
        <v>27</v>
      </c>
      <c r="G21" s="39">
        <v>53</v>
      </c>
      <c r="H21" s="39">
        <v>75</v>
      </c>
      <c r="I21" s="39">
        <f>SUM(C21:H21)</f>
        <v>366</v>
      </c>
      <c r="J21" s="39">
        <v>95</v>
      </c>
      <c r="K21" s="39">
        <v>97</v>
      </c>
      <c r="L21" s="39">
        <v>33</v>
      </c>
      <c r="M21" s="39">
        <v>26</v>
      </c>
      <c r="N21" s="39">
        <v>84</v>
      </c>
      <c r="O21" s="39">
        <v>89</v>
      </c>
      <c r="P21" s="3">
        <f>SUM(J21:O21)</f>
        <v>424</v>
      </c>
      <c r="Q21" s="3">
        <v>10</v>
      </c>
    </row>
    <row r="22" spans="1:17" x14ac:dyDescent="0.35">
      <c r="A22" s="19" t="s">
        <v>7</v>
      </c>
      <c r="B22" s="19" t="s">
        <v>30</v>
      </c>
      <c r="C22" s="39">
        <v>98</v>
      </c>
      <c r="D22" s="39">
        <v>103</v>
      </c>
      <c r="E22" s="39">
        <v>63</v>
      </c>
      <c r="F22" s="39">
        <v>49</v>
      </c>
      <c r="G22" s="39">
        <v>69</v>
      </c>
      <c r="H22" s="39">
        <v>79</v>
      </c>
      <c r="I22" s="39">
        <f>SUM(C22:H22)</f>
        <v>461</v>
      </c>
      <c r="J22" s="39">
        <v>71</v>
      </c>
      <c r="K22" s="39">
        <v>79</v>
      </c>
      <c r="L22" s="39">
        <v>36</v>
      </c>
      <c r="M22" s="39">
        <v>22</v>
      </c>
      <c r="N22" s="39">
        <v>50</v>
      </c>
      <c r="O22" s="39">
        <v>52</v>
      </c>
      <c r="P22" s="3">
        <f>SUM(J22:O22)</f>
        <v>310</v>
      </c>
      <c r="Q22" s="3">
        <v>10</v>
      </c>
    </row>
    <row r="23" spans="1:17" x14ac:dyDescent="0.35">
      <c r="A23" s="19" t="s">
        <v>8</v>
      </c>
      <c r="B23" s="19" t="s">
        <v>31</v>
      </c>
      <c r="C23" s="39">
        <v>4</v>
      </c>
      <c r="D23" s="39">
        <v>11</v>
      </c>
      <c r="E23" s="39">
        <v>14</v>
      </c>
      <c r="F23" s="39">
        <v>8</v>
      </c>
      <c r="G23" s="39">
        <v>8</v>
      </c>
      <c r="H23" s="39">
        <v>13</v>
      </c>
      <c r="I23" s="39">
        <f>SUM(C23:H23)</f>
        <v>58</v>
      </c>
      <c r="J23" s="39">
        <v>14</v>
      </c>
      <c r="K23" s="39">
        <v>8</v>
      </c>
      <c r="L23" s="39">
        <v>2</v>
      </c>
      <c r="M23" s="39">
        <v>14</v>
      </c>
      <c r="N23" s="39">
        <v>8</v>
      </c>
      <c r="O23" s="39">
        <v>10</v>
      </c>
      <c r="P23" s="3">
        <f>SUM(J23:O23)</f>
        <v>56</v>
      </c>
      <c r="Q23" s="3">
        <v>5</v>
      </c>
    </row>
    <row r="24" spans="1:17" x14ac:dyDescent="0.35">
      <c r="A24" s="19" t="s">
        <v>8</v>
      </c>
      <c r="B24" s="19" t="s">
        <v>32</v>
      </c>
      <c r="C24" s="39">
        <v>29</v>
      </c>
      <c r="D24" s="39">
        <v>32</v>
      </c>
      <c r="E24" s="39">
        <v>22</v>
      </c>
      <c r="F24" s="39">
        <v>6</v>
      </c>
      <c r="G24" s="39">
        <v>21</v>
      </c>
      <c r="H24" s="39">
        <v>26</v>
      </c>
      <c r="I24" s="39">
        <f>SUM(C24:H24)</f>
        <v>136</v>
      </c>
      <c r="J24" s="39">
        <v>29</v>
      </c>
      <c r="K24" s="39">
        <v>20</v>
      </c>
      <c r="L24" s="39">
        <v>15</v>
      </c>
      <c r="M24" s="39">
        <v>12</v>
      </c>
      <c r="N24" s="39">
        <v>13</v>
      </c>
      <c r="O24" s="39">
        <v>14</v>
      </c>
      <c r="P24" s="3">
        <f>SUM(J24:O24)</f>
        <v>103</v>
      </c>
      <c r="Q24" s="3">
        <v>5</v>
      </c>
    </row>
    <row r="25" spans="1:17" x14ac:dyDescent="0.35">
      <c r="A25" s="19" t="s">
        <v>8</v>
      </c>
      <c r="B25" s="19" t="s">
        <v>33</v>
      </c>
      <c r="C25" s="39">
        <v>18</v>
      </c>
      <c r="D25" s="39">
        <v>22</v>
      </c>
      <c r="E25" s="39">
        <v>8</v>
      </c>
      <c r="F25" s="39">
        <v>9</v>
      </c>
      <c r="G25" s="39">
        <v>15</v>
      </c>
      <c r="H25" s="39">
        <v>30</v>
      </c>
      <c r="I25" s="39">
        <f>SUM(C25:H25)</f>
        <v>102</v>
      </c>
      <c r="J25" s="39">
        <v>45</v>
      </c>
      <c r="K25" s="39">
        <v>50</v>
      </c>
      <c r="L25" s="39">
        <v>28</v>
      </c>
      <c r="M25" s="39">
        <v>30</v>
      </c>
      <c r="N25" s="39">
        <v>23</v>
      </c>
      <c r="O25" s="39">
        <v>15</v>
      </c>
      <c r="P25" s="3">
        <f>SUM(J25:O25)</f>
        <v>191</v>
      </c>
      <c r="Q25" s="3">
        <v>5</v>
      </c>
    </row>
    <row r="26" spans="1:17" x14ac:dyDescent="0.35">
      <c r="A26" s="19" t="s">
        <v>8</v>
      </c>
      <c r="B26" s="19" t="s">
        <v>34</v>
      </c>
      <c r="C26" s="39">
        <v>15</v>
      </c>
      <c r="D26" s="39">
        <v>19</v>
      </c>
      <c r="E26" s="39">
        <v>5</v>
      </c>
      <c r="F26" s="39">
        <v>3</v>
      </c>
      <c r="G26" s="39">
        <v>26</v>
      </c>
      <c r="H26" s="39">
        <v>9</v>
      </c>
      <c r="I26" s="39">
        <f>SUM(C26:H26)</f>
        <v>77</v>
      </c>
      <c r="J26" s="39">
        <v>9</v>
      </c>
      <c r="K26" s="39">
        <v>12</v>
      </c>
      <c r="L26" s="39">
        <v>4</v>
      </c>
      <c r="M26" s="39">
        <v>4</v>
      </c>
      <c r="N26" s="39">
        <v>8</v>
      </c>
      <c r="O26" s="39">
        <v>10</v>
      </c>
      <c r="P26" s="3">
        <f>SUM(J26:O26)</f>
        <v>47</v>
      </c>
      <c r="Q26" s="3">
        <v>5</v>
      </c>
    </row>
    <row r="27" spans="1:17" x14ac:dyDescent="0.35">
      <c r="A27" s="19" t="s">
        <v>8</v>
      </c>
      <c r="B27" s="19" t="s">
        <v>35</v>
      </c>
      <c r="C27" s="39">
        <v>33</v>
      </c>
      <c r="D27" s="39">
        <v>18</v>
      </c>
      <c r="E27" s="39">
        <v>5</v>
      </c>
      <c r="F27" s="39">
        <v>10</v>
      </c>
      <c r="G27" s="39">
        <v>11</v>
      </c>
      <c r="H27" s="39">
        <v>19</v>
      </c>
      <c r="I27" s="39">
        <f>SUM(C27:H27)</f>
        <v>96</v>
      </c>
      <c r="J27" s="39">
        <v>26</v>
      </c>
      <c r="K27" s="39">
        <v>18</v>
      </c>
      <c r="L27" s="39">
        <v>11</v>
      </c>
      <c r="M27" s="39">
        <v>13</v>
      </c>
      <c r="N27" s="39">
        <v>13</v>
      </c>
      <c r="O27" s="39">
        <v>15</v>
      </c>
      <c r="P27" s="3">
        <f>SUM(J27:O27)</f>
        <v>96</v>
      </c>
      <c r="Q27" s="3">
        <v>5</v>
      </c>
    </row>
    <row r="28" spans="1:17" x14ac:dyDescent="0.35">
      <c r="A28" s="19" t="s">
        <v>8</v>
      </c>
      <c r="B28" s="19" t="s">
        <v>36</v>
      </c>
      <c r="C28" s="39">
        <v>53</v>
      </c>
      <c r="D28" s="39">
        <v>47</v>
      </c>
      <c r="E28" s="39">
        <v>35</v>
      </c>
      <c r="F28" s="39">
        <v>16</v>
      </c>
      <c r="G28" s="39">
        <v>46</v>
      </c>
      <c r="H28" s="39">
        <v>40</v>
      </c>
      <c r="I28" s="39">
        <f>SUM(C28:H28)</f>
        <v>237</v>
      </c>
      <c r="J28" s="39">
        <v>58</v>
      </c>
      <c r="K28" s="39">
        <v>43</v>
      </c>
      <c r="L28" s="39">
        <v>19</v>
      </c>
      <c r="M28" s="39">
        <v>19</v>
      </c>
      <c r="N28" s="39">
        <v>36</v>
      </c>
      <c r="O28" s="39">
        <v>25</v>
      </c>
      <c r="P28" s="3">
        <f>SUM(J28:O28)</f>
        <v>200</v>
      </c>
      <c r="Q28" s="3">
        <v>5</v>
      </c>
    </row>
    <row r="29" spans="1:17" x14ac:dyDescent="0.35">
      <c r="A29" s="19" t="s">
        <v>8</v>
      </c>
      <c r="B29" s="19" t="s">
        <v>37</v>
      </c>
      <c r="C29" s="39">
        <v>68</v>
      </c>
      <c r="D29" s="39">
        <v>59</v>
      </c>
      <c r="E29" s="39">
        <v>37</v>
      </c>
      <c r="F29" s="39">
        <v>24</v>
      </c>
      <c r="G29" s="39">
        <v>42</v>
      </c>
      <c r="H29" s="39">
        <v>33</v>
      </c>
      <c r="I29" s="39">
        <f>SUM(C29:H29)</f>
        <v>263</v>
      </c>
      <c r="J29" s="39">
        <v>65</v>
      </c>
      <c r="K29" s="39">
        <v>50</v>
      </c>
      <c r="L29" s="39">
        <v>31</v>
      </c>
      <c r="M29" s="39">
        <v>26</v>
      </c>
      <c r="N29" s="39">
        <v>54</v>
      </c>
      <c r="O29" s="39">
        <v>35</v>
      </c>
      <c r="P29" s="3">
        <f>SUM(J29:O29)</f>
        <v>261</v>
      </c>
      <c r="Q29" s="3">
        <v>5</v>
      </c>
    </row>
    <row r="30" spans="1:17" x14ac:dyDescent="0.35">
      <c r="A30" s="19" t="s">
        <v>8</v>
      </c>
      <c r="B30" s="19" t="s">
        <v>38</v>
      </c>
      <c r="C30" s="39">
        <v>31</v>
      </c>
      <c r="D30" s="39">
        <v>32</v>
      </c>
      <c r="E30" s="39">
        <v>12</v>
      </c>
      <c r="F30" s="39">
        <v>17</v>
      </c>
      <c r="G30" s="39">
        <v>20</v>
      </c>
      <c r="H30" s="39">
        <v>29</v>
      </c>
      <c r="I30" s="39">
        <f>SUM(C30:H30)</f>
        <v>141</v>
      </c>
      <c r="J30" s="39">
        <v>24</v>
      </c>
      <c r="K30" s="39">
        <v>31</v>
      </c>
      <c r="L30" s="39">
        <v>17</v>
      </c>
      <c r="M30" s="39">
        <v>17</v>
      </c>
      <c r="N30" s="39">
        <v>16</v>
      </c>
      <c r="O30" s="39">
        <v>17</v>
      </c>
      <c r="P30" s="3">
        <f>SUM(J30:O30)</f>
        <v>122</v>
      </c>
      <c r="Q30" s="3">
        <v>5</v>
      </c>
    </row>
  </sheetData>
  <mergeCells count="4">
    <mergeCell ref="C1:I1"/>
    <mergeCell ref="J1:P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Chlorophyll a</vt:lpstr>
      <vt:lpstr>nifH</vt:lpstr>
      <vt:lpstr>Mitotic index</vt:lpstr>
      <vt:lpstr>Algal symbiont density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Nauras Daraghmeh</dc:creator>
  <cp:lastModifiedBy>Nauras Daraghmeh</cp:lastModifiedBy>
  <dcterms:created xsi:type="dcterms:W3CDTF">2026-03-06T10:20:48Z</dcterms:created>
  <dcterms:modified xsi:type="dcterms:W3CDTF">2026-03-31T16:10:54Z</dcterms:modified>
</cp:coreProperties>
</file>